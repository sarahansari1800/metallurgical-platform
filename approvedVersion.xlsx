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uqansari/Library/CloudStorage/OneDrive-LUTUniversity/Thesis/Database/"/>
    </mc:Choice>
  </mc:AlternateContent>
  <xr:revisionPtr revIDLastSave="0" documentId="13_ncr:1_{FB33B9F6-1417-0941-BE74-1FE0BB7007E8}" xr6:coauthVersionLast="47" xr6:coauthVersionMax="47" xr10:uidLastSave="{00000000-0000-0000-0000-000000000000}"/>
  <bookViews>
    <workbookView xWindow="14600" yWindow="0" windowWidth="14200" windowHeight="18000" activeTab="3" xr2:uid="{9AF4DB88-D780-4940-BE3A-D3356DAA4152}"/>
  </bookViews>
  <sheets>
    <sheet name="Final" sheetId="5" r:id="rId1"/>
    <sheet name="References" sheetId="2" r:id="rId2"/>
    <sheet name="Final (2)" sheetId="7" state="hidden" r:id="rId3"/>
    <sheet name="Backup database" sheetId="1" r:id="rId4"/>
    <sheet name="Mapping" sheetId="6" state="hidden" r:id="rId5"/>
    <sheet name="References List_final" sheetId="4" state="hidden" r:id="rId6"/>
    <sheet name="Matchmaking logic" sheetId="3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7" l="1" a="1"/>
  <c r="AB2" i="7" s="1"/>
  <c r="AC2" i="7" a="1"/>
  <c r="AC2" i="7" s="1"/>
  <c r="AD2" i="7" a="1"/>
  <c r="AD2" i="7" s="1"/>
  <c r="AE2" i="7" a="1"/>
  <c r="AE2" i="7" s="1"/>
  <c r="AF2" i="7" a="1"/>
  <c r="AF2" i="7" s="1"/>
  <c r="AG2" i="7" a="1"/>
  <c r="AG2" i="7" s="1"/>
  <c r="AH2" i="7" a="1"/>
  <c r="AH2" i="7" s="1"/>
  <c r="AI2" i="7" a="1"/>
  <c r="AI2" i="7" s="1"/>
  <c r="AJ2" i="7" a="1"/>
  <c r="AJ2" i="7" s="1"/>
  <c r="AK2" i="7" a="1"/>
  <c r="AK2" i="7" s="1"/>
  <c r="AL2" i="7" a="1"/>
  <c r="AL2" i="7" s="1"/>
  <c r="AM2" i="7" a="1"/>
  <c r="AM2" i="7" s="1"/>
  <c r="AN2" i="7" a="1"/>
  <c r="AN2" i="7" s="1"/>
  <c r="AO2" i="7" a="1"/>
  <c r="AO2" i="7"/>
  <c r="AP2" i="7" a="1"/>
  <c r="AP2" i="7" s="1"/>
  <c r="AB3" i="7" a="1"/>
  <c r="AB3" i="7" s="1"/>
  <c r="AC3" i="7" a="1"/>
  <c r="AC3" i="7" s="1"/>
  <c r="AD3" i="7" a="1"/>
  <c r="AD3" i="7"/>
  <c r="AE3" i="7" a="1"/>
  <c r="AE3" i="7" s="1"/>
  <c r="AF3" i="7" a="1"/>
  <c r="AF3" i="7" s="1"/>
  <c r="AG3" i="7" a="1"/>
  <c r="AG3" i="7" s="1"/>
  <c r="AH3" i="7" a="1"/>
  <c r="AH3" i="7" s="1"/>
  <c r="AI3" i="7" a="1"/>
  <c r="AI3" i="7" s="1"/>
  <c r="AJ3" i="7" a="1"/>
  <c r="AJ3" i="7" s="1"/>
  <c r="AK3" i="7" a="1"/>
  <c r="AK3" i="7" s="1"/>
  <c r="AL3" i="7" a="1"/>
  <c r="AL3" i="7" s="1"/>
  <c r="AM3" i="7" a="1"/>
  <c r="AM3" i="7" s="1"/>
  <c r="AN3" i="7" a="1"/>
  <c r="AN3" i="7" s="1"/>
  <c r="AO3" i="7" a="1"/>
  <c r="AO3" i="7" s="1"/>
  <c r="AP3" i="7" a="1"/>
  <c r="AP3" i="7"/>
  <c r="AB4" i="7" a="1"/>
  <c r="AB4" i="7" s="1"/>
  <c r="AC4" i="7" a="1"/>
  <c r="AC4" i="7" s="1"/>
  <c r="AD4" i="7" a="1"/>
  <c r="AD4" i="7" s="1"/>
  <c r="AE4" i="7" a="1"/>
  <c r="AE4" i="7" s="1"/>
  <c r="AF4" i="7" a="1"/>
  <c r="AF4" i="7" s="1"/>
  <c r="AG4" i="7" a="1"/>
  <c r="AG4" i="7" s="1"/>
  <c r="AH4" i="7" a="1"/>
  <c r="AH4" i="7" s="1"/>
  <c r="AI4" i="7" a="1"/>
  <c r="AI4" i="7" s="1"/>
  <c r="AJ4" i="7" a="1"/>
  <c r="AJ4" i="7" s="1"/>
  <c r="AK4" i="7" a="1"/>
  <c r="AK4" i="7" s="1"/>
  <c r="AL4" i="7" a="1"/>
  <c r="AL4" i="7" s="1"/>
  <c r="AM4" i="7" a="1"/>
  <c r="AM4" i="7" s="1"/>
  <c r="AN4" i="7" a="1"/>
  <c r="AN4" i="7"/>
  <c r="AO4" i="7" a="1"/>
  <c r="AO4" i="7" s="1"/>
  <c r="AP4" i="7" a="1"/>
  <c r="AP4" i="7" s="1"/>
  <c r="AB5" i="7" a="1"/>
  <c r="AB5" i="7" s="1"/>
  <c r="AC5" i="7" a="1"/>
  <c r="AC5" i="7" s="1"/>
  <c r="AD5" i="7" a="1"/>
  <c r="AD5" i="7" s="1"/>
  <c r="AE5" i="7" a="1"/>
  <c r="AE5" i="7" s="1"/>
  <c r="AF5" i="7" a="1"/>
  <c r="AF5" i="7"/>
  <c r="AG5" i="7" a="1"/>
  <c r="AG5" i="7" s="1"/>
  <c r="AH5" i="7" a="1"/>
  <c r="AH5" i="7" s="1"/>
  <c r="AI5" i="7" a="1"/>
  <c r="AI5" i="7"/>
  <c r="AJ5" i="7" a="1"/>
  <c r="AJ5" i="7" s="1"/>
  <c r="AK5" i="7" a="1"/>
  <c r="AK5" i="7" s="1"/>
  <c r="AL5" i="7" a="1"/>
  <c r="AL5" i="7"/>
  <c r="AM5" i="7" a="1"/>
  <c r="AM5" i="7" s="1"/>
  <c r="AN5" i="7" a="1"/>
  <c r="AN5" i="7" s="1"/>
  <c r="AO5" i="7" a="1"/>
  <c r="AO5" i="7" s="1"/>
  <c r="AP5" i="7" a="1"/>
  <c r="AP5" i="7"/>
  <c r="AB6" i="7" a="1"/>
  <c r="AB6" i="7" s="1"/>
  <c r="AC6" i="7" a="1"/>
  <c r="AC6" i="7"/>
  <c r="AD6" i="7" a="1"/>
  <c r="AD6" i="7" s="1"/>
  <c r="AE6" i="7" a="1"/>
  <c r="AE6" i="7" s="1"/>
  <c r="AF6" i="7" a="1"/>
  <c r="AF6" i="7" s="1"/>
  <c r="AG6" i="7" a="1"/>
  <c r="AG6" i="7" s="1"/>
  <c r="AH6" i="7" a="1"/>
  <c r="AH6" i="7" s="1"/>
  <c r="AI6" i="7" a="1"/>
  <c r="AI6" i="7" s="1"/>
  <c r="AJ6" i="7" a="1"/>
  <c r="AJ6" i="7" s="1"/>
  <c r="AK6" i="7" a="1"/>
  <c r="AK6" i="7" s="1"/>
  <c r="AL6" i="7" a="1"/>
  <c r="AL6" i="7" s="1"/>
  <c r="AM6" i="7" a="1"/>
  <c r="AM6" i="7"/>
  <c r="AN6" i="7" a="1"/>
  <c r="AN6" i="7" s="1"/>
  <c r="AO6" i="7" a="1"/>
  <c r="AO6" i="7"/>
  <c r="AP6" i="7" a="1"/>
  <c r="AP6" i="7" s="1"/>
  <c r="AB7" i="7" a="1"/>
  <c r="AB7" i="7"/>
  <c r="AC7" i="7" a="1"/>
  <c r="AC7" i="7" s="1"/>
  <c r="AD7" i="7" a="1"/>
  <c r="AD7" i="7" s="1"/>
  <c r="AE7" i="7" a="1"/>
  <c r="AE7" i="7" s="1"/>
  <c r="AF7" i="7" a="1"/>
  <c r="AF7" i="7" s="1"/>
  <c r="AG7" i="7" a="1"/>
  <c r="AG7" i="7" s="1"/>
  <c r="AH7" i="7" a="1"/>
  <c r="AH7" i="7"/>
  <c r="AI7" i="7" a="1"/>
  <c r="AI7" i="7" s="1"/>
  <c r="AJ7" i="7" a="1"/>
  <c r="AJ7" i="7"/>
  <c r="AK7" i="7" a="1"/>
  <c r="AK7" i="7" s="1"/>
  <c r="AL7" i="7" a="1"/>
  <c r="AL7" i="7" s="1"/>
  <c r="AM7" i="7" a="1"/>
  <c r="AM7" i="7" s="1"/>
  <c r="AN7" i="7" a="1"/>
  <c r="AN7" i="7"/>
  <c r="AO7" i="7" a="1"/>
  <c r="AO7" i="7" s="1"/>
  <c r="AP7" i="7" a="1"/>
  <c r="AP7" i="7" s="1"/>
  <c r="AB8" i="7" a="1"/>
  <c r="AB8" i="7" s="1"/>
  <c r="AC8" i="7" a="1"/>
  <c r="AC8" i="7"/>
  <c r="AD8" i="7" a="1"/>
  <c r="AD8" i="7" s="1"/>
  <c r="AE8" i="7" a="1"/>
  <c r="AE8" i="7" s="1"/>
  <c r="AF8" i="7" a="1"/>
  <c r="AF8" i="7" s="1"/>
  <c r="AG8" i="7" a="1"/>
  <c r="AG8" i="7" s="1"/>
  <c r="AH8" i="7" a="1"/>
  <c r="AH8" i="7" s="1"/>
  <c r="AI8" i="7" a="1"/>
  <c r="AI8" i="7" s="1"/>
  <c r="AJ8" i="7" a="1"/>
  <c r="AJ8" i="7" s="1"/>
  <c r="AK8" i="7" a="1"/>
  <c r="AK8" i="7" s="1"/>
  <c r="AL8" i="7" a="1"/>
  <c r="AL8" i="7" s="1"/>
  <c r="AM8" i="7" a="1"/>
  <c r="AM8" i="7" s="1"/>
  <c r="AN8" i="7" a="1"/>
  <c r="AN8" i="7" s="1"/>
  <c r="AO8" i="7" a="1"/>
  <c r="AO8" i="7"/>
  <c r="AP8" i="7" a="1"/>
  <c r="AP8" i="7" s="1"/>
  <c r="AB9" i="7" a="1"/>
  <c r="AB9" i="7" s="1"/>
  <c r="AC9" i="7" a="1"/>
  <c r="AC9" i="7" s="1"/>
  <c r="AD9" i="7" a="1"/>
  <c r="AD9" i="7" s="1"/>
  <c r="AE9" i="7" a="1"/>
  <c r="AE9" i="7"/>
  <c r="AF9" i="7" a="1"/>
  <c r="AF9" i="7" s="1"/>
  <c r="AG9" i="7" a="1"/>
  <c r="AG9" i="7" s="1"/>
  <c r="AH9" i="7" a="1"/>
  <c r="AH9" i="7" s="1"/>
  <c r="AI9" i="7" a="1"/>
  <c r="AI9" i="7" s="1"/>
  <c r="AJ9" i="7" a="1"/>
  <c r="AJ9" i="7"/>
  <c r="AK9" i="7" a="1"/>
  <c r="AK9" i="7" s="1"/>
  <c r="AL9" i="7" a="1"/>
  <c r="AL9" i="7" s="1"/>
  <c r="AM9" i="7" a="1"/>
  <c r="AM9" i="7"/>
  <c r="AN9" i="7" a="1"/>
  <c r="AN9" i="7" s="1"/>
  <c r="AO9" i="7" a="1"/>
  <c r="AO9" i="7" s="1"/>
  <c r="AP9" i="7" a="1"/>
  <c r="AP9" i="7" s="1"/>
  <c r="AB10" i="7" a="1"/>
  <c r="AB10" i="7" s="1"/>
  <c r="AC10" i="7" a="1"/>
  <c r="AC10" i="7" s="1"/>
  <c r="AD10" i="7" a="1"/>
  <c r="AD10" i="7"/>
  <c r="AE10" i="7" a="1"/>
  <c r="AE10" i="7" s="1"/>
  <c r="AF10" i="7" a="1"/>
  <c r="AF10" i="7" s="1"/>
  <c r="AG10" i="7" a="1"/>
  <c r="AG10" i="7"/>
  <c r="AH10" i="7" a="1"/>
  <c r="AH10" i="7" s="1"/>
  <c r="AI10" i="7" a="1"/>
  <c r="AI10" i="7" s="1"/>
  <c r="AJ10" i="7" a="1"/>
  <c r="AJ10" i="7" s="1"/>
  <c r="AK10" i="7" a="1"/>
  <c r="AK10" i="7" s="1"/>
  <c r="AL10" i="7" a="1"/>
  <c r="AL10" i="7" s="1"/>
  <c r="AM10" i="7" a="1"/>
  <c r="AM10" i="7"/>
  <c r="AN10" i="7" a="1"/>
  <c r="AN10" i="7" s="1"/>
  <c r="AO10" i="7" a="1"/>
  <c r="AO10" i="7" s="1"/>
  <c r="AP10" i="7" a="1"/>
  <c r="AP10" i="7"/>
  <c r="AB11" i="7" a="1"/>
  <c r="AB11" i="7" s="1"/>
  <c r="AC11" i="7" a="1"/>
  <c r="AC11" i="7"/>
  <c r="AD11" i="7" a="1"/>
  <c r="AD11" i="7" s="1"/>
  <c r="AE11" i="7" a="1"/>
  <c r="AE11" i="7" s="1"/>
  <c r="AF11" i="7" a="1"/>
  <c r="AF11" i="7" s="1"/>
  <c r="AG11" i="7" a="1"/>
  <c r="AG11" i="7" s="1"/>
  <c r="AH11" i="7" a="1"/>
  <c r="AH11" i="7"/>
  <c r="AI11" i="7" a="1"/>
  <c r="AI11" i="7" s="1"/>
  <c r="AJ11" i="7" a="1"/>
  <c r="AJ11" i="7" s="1"/>
  <c r="AK11" i="7" a="1"/>
  <c r="AK11" i="7" s="1"/>
  <c r="AL11" i="7" a="1"/>
  <c r="AL11" i="7" s="1"/>
  <c r="AM11" i="7" a="1"/>
  <c r="AM11" i="7"/>
  <c r="AN11" i="7" a="1"/>
  <c r="AN11" i="7" s="1"/>
  <c r="AO11" i="7" a="1"/>
  <c r="AO11" i="7" s="1"/>
  <c r="AP11" i="7" a="1"/>
  <c r="AP11" i="7" s="1"/>
  <c r="AB12" i="7" a="1"/>
  <c r="AB12" i="7" s="1"/>
  <c r="AC12" i="7" a="1"/>
  <c r="AC12" i="7" s="1"/>
  <c r="AD12" i="7" a="1"/>
  <c r="AD12" i="7"/>
  <c r="AE12" i="7" a="1"/>
  <c r="AE12" i="7" s="1"/>
  <c r="AF12" i="7" a="1"/>
  <c r="AF12" i="7" s="1"/>
  <c r="AG12" i="7" a="1"/>
  <c r="AG12" i="7" s="1"/>
  <c r="AH12" i="7" a="1"/>
  <c r="AH12" i="7" s="1"/>
  <c r="AI12" i="7" a="1"/>
  <c r="AI12" i="7" s="1"/>
  <c r="AJ12" i="7" a="1"/>
  <c r="AJ12" i="7" s="1"/>
  <c r="AK12" i="7" a="1"/>
  <c r="AK12" i="7"/>
  <c r="AL12" i="7" a="1"/>
  <c r="AL12" i="7" s="1"/>
  <c r="AM12" i="7" a="1"/>
  <c r="AM12" i="7" s="1"/>
  <c r="AN12" i="7" a="1"/>
  <c r="AN12" i="7" s="1"/>
  <c r="AO12" i="7" a="1"/>
  <c r="AO12" i="7" s="1"/>
  <c r="AP12" i="7" a="1"/>
  <c r="AP12" i="7" s="1"/>
  <c r="AB13" i="7" a="1"/>
  <c r="AB13" i="7" s="1"/>
  <c r="AC13" i="7" a="1"/>
  <c r="AC13" i="7" s="1"/>
  <c r="AD13" i="7" a="1"/>
  <c r="AD13" i="7" s="1"/>
  <c r="AE13" i="7" a="1"/>
  <c r="AE13" i="7" s="1"/>
  <c r="AF13" i="7" a="1"/>
  <c r="AF13" i="7" s="1"/>
  <c r="AG13" i="7" a="1"/>
  <c r="AG13" i="7"/>
  <c r="AH13" i="7" a="1"/>
  <c r="AH13" i="7" s="1"/>
  <c r="AI13" i="7" a="1"/>
  <c r="AI13" i="7" s="1"/>
  <c r="AJ13" i="7" a="1"/>
  <c r="AJ13" i="7" s="1"/>
  <c r="AK13" i="7" a="1"/>
  <c r="AK13" i="7" s="1"/>
  <c r="AL13" i="7" a="1"/>
  <c r="AL13" i="7" s="1"/>
  <c r="AM13" i="7" a="1"/>
  <c r="AM13" i="7" s="1"/>
  <c r="AN13" i="7" a="1"/>
  <c r="AN13" i="7" s="1"/>
  <c r="AO13" i="7" a="1"/>
  <c r="AO13" i="7"/>
  <c r="AP13" i="7" a="1"/>
  <c r="AP13" i="7" s="1"/>
  <c r="AB14" i="7" a="1"/>
  <c r="AB14" i="7" s="1"/>
  <c r="AC14" i="7" a="1"/>
  <c r="AC14" i="7" s="1"/>
  <c r="AD14" i="7" a="1"/>
  <c r="AD14" i="7" s="1"/>
  <c r="AE14" i="7" a="1"/>
  <c r="AE14" i="7" s="1"/>
  <c r="AF14" i="7" a="1"/>
  <c r="AF14" i="7" s="1"/>
  <c r="AG14" i="7" a="1"/>
  <c r="AG14" i="7" s="1"/>
  <c r="AH14" i="7" a="1"/>
  <c r="AH14" i="7" s="1"/>
  <c r="AI14" i="7" a="1"/>
  <c r="AI14" i="7" s="1"/>
  <c r="AJ14" i="7" a="1"/>
  <c r="AJ14" i="7" s="1"/>
  <c r="AK14" i="7" a="1"/>
  <c r="AK14" i="7" s="1"/>
  <c r="AL14" i="7" a="1"/>
  <c r="AL14" i="7" s="1"/>
  <c r="AM14" i="7" a="1"/>
  <c r="AM14" i="7" s="1"/>
  <c r="AN14" i="7" a="1"/>
  <c r="AN14" i="7" s="1"/>
  <c r="AO14" i="7" a="1"/>
  <c r="AO14" i="7" s="1"/>
  <c r="AP14" i="7" a="1"/>
  <c r="AP14" i="7" s="1"/>
  <c r="AB15" i="7" a="1"/>
  <c r="AB15" i="7" s="1"/>
  <c r="AC15" i="7" a="1"/>
  <c r="AC15" i="7" s="1"/>
  <c r="AD15" i="7" a="1"/>
  <c r="AD15" i="7" s="1"/>
  <c r="AE15" i="7" a="1"/>
  <c r="AE15" i="7" s="1"/>
  <c r="AF15" i="7" a="1"/>
  <c r="AF15" i="7" s="1"/>
  <c r="AG15" i="7" a="1"/>
  <c r="AG15" i="7" s="1"/>
  <c r="AH15" i="7" a="1"/>
  <c r="AH15" i="7" s="1"/>
  <c r="AI15" i="7" a="1"/>
  <c r="AI15" i="7"/>
  <c r="AJ15" i="7" a="1"/>
  <c r="AJ15" i="7" s="1"/>
  <c r="AK15" i="7" a="1"/>
  <c r="AK15" i="7" s="1"/>
  <c r="AL15" i="7" a="1"/>
  <c r="AL15" i="7"/>
  <c r="AM15" i="7" a="1"/>
  <c r="AM15" i="7" s="1"/>
  <c r="AN15" i="7" a="1"/>
  <c r="AN15" i="7"/>
  <c r="AO15" i="7" a="1"/>
  <c r="AO15" i="7" s="1"/>
  <c r="AP15" i="7" a="1"/>
  <c r="AP15" i="7" s="1"/>
  <c r="AB16" i="7" a="1"/>
  <c r="AB16" i="7"/>
  <c r="AC16" i="7" a="1"/>
  <c r="AC16" i="7" s="1"/>
  <c r="AD16" i="7" a="1"/>
  <c r="AD16" i="7" s="1"/>
  <c r="AE16" i="7" a="1"/>
  <c r="AE16" i="7" s="1"/>
  <c r="AF16" i="7" a="1"/>
  <c r="AF16" i="7" s="1"/>
  <c r="AG16" i="7" a="1"/>
  <c r="AG16" i="7" s="1"/>
  <c r="AH16" i="7" a="1"/>
  <c r="AH16" i="7" s="1"/>
  <c r="AI16" i="7" a="1"/>
  <c r="AI16" i="7" s="1"/>
  <c r="AJ16" i="7" a="1"/>
  <c r="AJ16" i="7" s="1"/>
  <c r="AK16" i="7" a="1"/>
  <c r="AK16" i="7" s="1"/>
  <c r="AL16" i="7" a="1"/>
  <c r="AL16" i="7" s="1"/>
  <c r="AM16" i="7" a="1"/>
  <c r="AM16" i="7" s="1"/>
  <c r="AN16" i="7" a="1"/>
  <c r="AN16" i="7"/>
  <c r="AO16" i="7" a="1"/>
  <c r="AO16" i="7" s="1"/>
  <c r="AP16" i="7" a="1"/>
  <c r="AP16" i="7" s="1"/>
  <c r="AB17" i="7" a="1"/>
  <c r="AB17" i="7" s="1"/>
  <c r="AC17" i="7" a="1"/>
  <c r="AC17" i="7" s="1"/>
  <c r="AD17" i="7" a="1"/>
  <c r="AD17" i="7" s="1"/>
  <c r="AE17" i="7" a="1"/>
  <c r="AE17" i="7" s="1"/>
  <c r="AF17" i="7" a="1"/>
  <c r="AF17" i="7" s="1"/>
  <c r="AG17" i="7" a="1"/>
  <c r="AG17" i="7" s="1"/>
  <c r="AH17" i="7" a="1"/>
  <c r="AH17" i="7" s="1"/>
  <c r="AI17" i="7" a="1"/>
  <c r="AI17" i="7"/>
  <c r="AJ17" i="7" a="1"/>
  <c r="AJ17" i="7" s="1"/>
  <c r="AK17" i="7" a="1"/>
  <c r="AK17" i="7" s="1"/>
  <c r="AL17" i="7" a="1"/>
  <c r="AL17" i="7" s="1"/>
  <c r="AM17" i="7" a="1"/>
  <c r="AM17" i="7" s="1"/>
  <c r="AN17" i="7" a="1"/>
  <c r="AN17" i="7" s="1"/>
  <c r="AO17" i="7" a="1"/>
  <c r="AO17" i="7" s="1"/>
  <c r="AP17" i="7" a="1"/>
  <c r="AP17" i="7" s="1"/>
  <c r="AB18" i="7" a="1"/>
  <c r="AB18" i="7" s="1"/>
  <c r="AC18" i="7" a="1"/>
  <c r="AC18" i="7" s="1"/>
  <c r="AD18" i="7" a="1"/>
  <c r="AD18" i="7"/>
  <c r="AE18" i="7" a="1"/>
  <c r="AE18" i="7" s="1"/>
  <c r="AF18" i="7" a="1"/>
  <c r="AF18" i="7" s="1"/>
  <c r="AG18" i="7" a="1"/>
  <c r="AG18" i="7" s="1"/>
  <c r="AH18" i="7" a="1"/>
  <c r="AH18" i="7" s="1"/>
  <c r="AI18" i="7" a="1"/>
  <c r="AI18" i="7" s="1"/>
  <c r="AJ18" i="7" a="1"/>
  <c r="AJ18" i="7" s="1"/>
  <c r="AK18" i="7" a="1"/>
  <c r="AK18" i="7" s="1"/>
  <c r="AL18" i="7" a="1"/>
  <c r="AL18" i="7" s="1"/>
  <c r="AM18" i="7" a="1"/>
  <c r="AM18" i="7"/>
  <c r="AN18" i="7" a="1"/>
  <c r="AN18" i="7" s="1"/>
  <c r="AO18" i="7" a="1"/>
  <c r="AO18" i="7" s="1"/>
  <c r="AP18" i="7" a="1"/>
  <c r="AP18" i="7"/>
  <c r="AB19" i="7" a="1"/>
  <c r="AB19" i="7" s="1"/>
  <c r="AC19" i="7" a="1"/>
  <c r="AC19" i="7" s="1"/>
  <c r="AD19" i="7" a="1"/>
  <c r="AD19" i="7"/>
  <c r="AE19" i="7" a="1"/>
  <c r="AE19" i="7" s="1"/>
  <c r="AF19" i="7" a="1"/>
  <c r="AF19" i="7"/>
  <c r="AG19" i="7" a="1"/>
  <c r="AG19" i="7" s="1"/>
  <c r="AH19" i="7" a="1"/>
  <c r="AH19" i="7" s="1"/>
  <c r="AI19" i="7" a="1"/>
  <c r="AI19" i="7" s="1"/>
  <c r="AJ19" i="7" a="1"/>
  <c r="AJ19" i="7" s="1"/>
  <c r="AK19" i="7" a="1"/>
  <c r="AK19" i="7" s="1"/>
  <c r="AL19" i="7" a="1"/>
  <c r="AL19" i="7" s="1"/>
  <c r="AM19" i="7" a="1"/>
  <c r="AM19" i="7" s="1"/>
  <c r="AN19" i="7" a="1"/>
  <c r="AN19" i="7" s="1"/>
  <c r="AO19" i="7" a="1"/>
  <c r="AO19" i="7" s="1"/>
  <c r="AP19" i="7" a="1"/>
  <c r="AP19" i="7" s="1"/>
  <c r="AB20" i="7" a="1"/>
  <c r="AB20" i="7" s="1"/>
  <c r="AC20" i="7" a="1"/>
  <c r="AC20" i="7"/>
  <c r="AD20" i="7" a="1"/>
  <c r="AD20" i="7" s="1"/>
  <c r="AE20" i="7" a="1"/>
  <c r="AE20" i="7" s="1"/>
  <c r="AF20" i="7" a="1"/>
  <c r="AF20" i="7" s="1"/>
  <c r="AG20" i="7" a="1"/>
  <c r="AG20" i="7" s="1"/>
  <c r="AH20" i="7" a="1"/>
  <c r="AH20" i="7" s="1"/>
  <c r="AI20" i="7" a="1"/>
  <c r="AI20" i="7" s="1"/>
  <c r="AJ20" i="7" a="1"/>
  <c r="AJ20" i="7"/>
  <c r="AK20" i="7" a="1"/>
  <c r="AK20" i="7" s="1"/>
  <c r="AL20" i="7" a="1"/>
  <c r="AL20" i="7" s="1"/>
  <c r="AM20" i="7" a="1"/>
  <c r="AM20" i="7" s="1"/>
  <c r="AN20" i="7" a="1"/>
  <c r="AN20" i="7" s="1"/>
  <c r="AO20" i="7" a="1"/>
  <c r="AO20" i="7" s="1"/>
  <c r="AP20" i="7" a="1"/>
  <c r="AP20" i="7" s="1"/>
  <c r="AB21" i="7" a="1"/>
  <c r="AB21" i="7" s="1"/>
  <c r="AC21" i="7" a="1"/>
  <c r="AC21" i="7" s="1"/>
  <c r="AD21" i="7" a="1"/>
  <c r="AD21" i="7" s="1"/>
  <c r="AE21" i="7" a="1"/>
  <c r="AE21" i="7"/>
  <c r="AF21" i="7" a="1"/>
  <c r="AF21" i="7" s="1"/>
  <c r="AG21" i="7" a="1"/>
  <c r="AG21" i="7" s="1"/>
  <c r="AH21" i="7" a="1"/>
  <c r="AH21" i="7" s="1"/>
  <c r="AI21" i="7" a="1"/>
  <c r="AI21" i="7" s="1"/>
  <c r="AJ21" i="7" a="1"/>
  <c r="AJ21" i="7" s="1"/>
  <c r="AK21" i="7" a="1"/>
  <c r="AK21" i="7" s="1"/>
  <c r="AL21" i="7" a="1"/>
  <c r="AL21" i="7" s="1"/>
  <c r="AM21" i="7" a="1"/>
  <c r="AM21" i="7" s="1"/>
  <c r="AN21" i="7" a="1"/>
  <c r="AN21" i="7"/>
  <c r="AO21" i="7" a="1"/>
  <c r="AO21" i="7" s="1"/>
  <c r="AP21" i="7" a="1"/>
  <c r="AP21" i="7"/>
  <c r="AB22" i="7" a="1"/>
  <c r="AB22" i="7" s="1"/>
  <c r="AC22" i="7" a="1"/>
  <c r="AC22" i="7" s="1"/>
  <c r="AD22" i="7" a="1"/>
  <c r="AD22" i="7" s="1"/>
  <c r="AE22" i="7" a="1"/>
  <c r="AE22" i="7" s="1"/>
  <c r="AF22" i="7" a="1"/>
  <c r="AF22" i="7" s="1"/>
  <c r="AG22" i="7" a="1"/>
  <c r="AG22" i="7" s="1"/>
  <c r="AH22" i="7" a="1"/>
  <c r="AH22" i="7" s="1"/>
  <c r="AI22" i="7" a="1"/>
  <c r="AI22" i="7"/>
  <c r="AJ22" i="7" a="1"/>
  <c r="AJ22" i="7" s="1"/>
  <c r="AK22" i="7" a="1"/>
  <c r="AK22" i="7"/>
  <c r="AL22" i="7" a="1"/>
  <c r="AL22" i="7" s="1"/>
  <c r="AM22" i="7" a="1"/>
  <c r="AM22" i="7" s="1"/>
  <c r="AN22" i="7" a="1"/>
  <c r="AN22" i="7" s="1"/>
  <c r="AO22" i="7" a="1"/>
  <c r="AO22" i="7" s="1"/>
  <c r="AP22" i="7" a="1"/>
  <c r="AP22" i="7"/>
  <c r="AB23" i="7" a="1"/>
  <c r="AB23" i="7" s="1"/>
  <c r="AC23" i="7" a="1"/>
  <c r="AC23" i="7" s="1"/>
  <c r="AD23" i="7" a="1"/>
  <c r="AD23" i="7"/>
  <c r="AE23" i="7" a="1"/>
  <c r="AE23" i="7" s="1"/>
  <c r="AF23" i="7" a="1"/>
  <c r="AF23" i="7" s="1"/>
  <c r="AG23" i="7" a="1"/>
  <c r="AG23" i="7"/>
  <c r="AH23" i="7" a="1"/>
  <c r="AH23" i="7" s="1"/>
  <c r="AI23" i="7" a="1"/>
  <c r="AI23" i="7" s="1"/>
  <c r="AJ23" i="7" a="1"/>
  <c r="AJ23" i="7"/>
  <c r="AK23" i="7" a="1"/>
  <c r="AK23" i="7" s="1"/>
  <c r="AL23" i="7" a="1"/>
  <c r="AL23" i="7" s="1"/>
  <c r="AM23" i="7" a="1"/>
  <c r="AM23" i="7" s="1"/>
  <c r="AN23" i="7" a="1"/>
  <c r="AN23" i="7" s="1"/>
  <c r="AO23" i="7" a="1"/>
  <c r="AO23" i="7" s="1"/>
  <c r="AP23" i="7" a="1"/>
  <c r="AP23" i="7" s="1"/>
  <c r="AB24" i="7" a="1"/>
  <c r="AB24" i="7"/>
  <c r="AC24" i="7" a="1"/>
  <c r="AC24" i="7" s="1"/>
  <c r="AD24" i="7" a="1"/>
  <c r="AD24" i="7" s="1"/>
  <c r="AE24" i="7" a="1"/>
  <c r="AE24" i="7"/>
  <c r="AF24" i="7" a="1"/>
  <c r="AF24" i="7" s="1"/>
  <c r="AG24" i="7" a="1"/>
  <c r="AG24" i="7"/>
  <c r="AH24" i="7" a="1"/>
  <c r="AH24" i="7" s="1"/>
  <c r="AI24" i="7" a="1"/>
  <c r="AI24" i="7" s="1"/>
  <c r="AJ24" i="7" a="1"/>
  <c r="AJ24" i="7" s="1"/>
  <c r="AK24" i="7" a="1"/>
  <c r="AK24" i="7"/>
  <c r="AL24" i="7" a="1"/>
  <c r="AL24" i="7" s="1"/>
  <c r="AM24" i="7" a="1"/>
  <c r="AM24" i="7"/>
  <c r="AN24" i="7" a="1"/>
  <c r="AN24" i="7" s="1"/>
  <c r="AO24" i="7" a="1"/>
  <c r="AO24" i="7"/>
  <c r="AP24" i="7" a="1"/>
  <c r="AP24" i="7" s="1"/>
  <c r="AB25" i="7" a="1"/>
  <c r="AB25" i="7" s="1"/>
  <c r="AC25" i="7" a="1"/>
  <c r="AC25" i="7" s="1"/>
  <c r="AD25" i="7" a="1"/>
  <c r="AD25" i="7" s="1"/>
  <c r="AE25" i="7" a="1"/>
  <c r="AE25" i="7" s="1"/>
  <c r="AF25" i="7" a="1"/>
  <c r="AF25" i="7" s="1"/>
  <c r="AG25" i="7" a="1"/>
  <c r="AG25" i="7" s="1"/>
  <c r="AH25" i="7" a="1"/>
  <c r="AH25" i="7" s="1"/>
  <c r="AI25" i="7" a="1"/>
  <c r="AI25" i="7"/>
  <c r="AJ25" i="7" a="1"/>
  <c r="AJ25" i="7" s="1"/>
  <c r="AK25" i="7" a="1"/>
  <c r="AK25" i="7" s="1"/>
  <c r="AL25" i="7" a="1"/>
  <c r="AL25" i="7" s="1"/>
  <c r="AM25" i="7" a="1"/>
  <c r="AM25" i="7" s="1"/>
  <c r="AN25" i="7" a="1"/>
  <c r="AN25" i="7" s="1"/>
  <c r="AO25" i="7" a="1"/>
  <c r="AO25" i="7" s="1"/>
  <c r="AP25" i="7" a="1"/>
  <c r="AP25" i="7" s="1"/>
  <c r="AB26" i="7" a="1"/>
  <c r="AB26" i="7" s="1"/>
  <c r="AC26" i="7" a="1"/>
  <c r="AC26" i="7" s="1"/>
  <c r="AD26" i="7" a="1"/>
  <c r="AD26" i="7"/>
  <c r="AE26" i="7" a="1"/>
  <c r="AE26" i="7" s="1"/>
  <c r="AF26" i="7" a="1"/>
  <c r="AF26" i="7" s="1"/>
  <c r="AG26" i="7" a="1"/>
  <c r="AG26" i="7" s="1"/>
  <c r="AH26" i="7" a="1"/>
  <c r="AH26" i="7" s="1"/>
  <c r="AI26" i="7" a="1"/>
  <c r="AI26" i="7" s="1"/>
  <c r="AJ26" i="7" a="1"/>
  <c r="AJ26" i="7" s="1"/>
  <c r="AK26" i="7" a="1"/>
  <c r="AK26" i="7" s="1"/>
  <c r="AL26" i="7" a="1"/>
  <c r="AL26" i="7" s="1"/>
  <c r="AM26" i="7" a="1"/>
  <c r="AM26" i="7"/>
  <c r="AN26" i="7" a="1"/>
  <c r="AN26" i="7" s="1"/>
  <c r="AO26" i="7" a="1"/>
  <c r="AO26" i="7" s="1"/>
  <c r="AP26" i="7" a="1"/>
  <c r="AP26" i="7" s="1"/>
  <c r="AB27" i="7" a="1"/>
  <c r="AB27" i="7" s="1"/>
  <c r="AC27" i="7" a="1"/>
  <c r="AC27" i="7" s="1"/>
  <c r="AD27" i="7" a="1"/>
  <c r="AD27" i="7"/>
  <c r="AE27" i="7" a="1"/>
  <c r="AE27" i="7" s="1"/>
  <c r="AF27" i="7" a="1"/>
  <c r="AF27" i="7" s="1"/>
  <c r="AG27" i="7" a="1"/>
  <c r="AG27" i="7"/>
  <c r="AH27" i="7" a="1"/>
  <c r="AH27" i="7" s="1"/>
  <c r="AI27" i="7" a="1"/>
  <c r="AI27" i="7" s="1"/>
  <c r="AJ27" i="7" a="1"/>
  <c r="AJ27" i="7" s="1"/>
  <c r="AK27" i="7" a="1"/>
  <c r="AK27" i="7" s="1"/>
  <c r="AL27" i="7" a="1"/>
  <c r="AL27" i="7" s="1"/>
  <c r="AM27" i="7" a="1"/>
  <c r="AM27" i="7" s="1"/>
  <c r="AN27" i="7" a="1"/>
  <c r="AN27" i="7"/>
  <c r="AO27" i="7" a="1"/>
  <c r="AO27" i="7" s="1"/>
  <c r="AP27" i="7" a="1"/>
  <c r="AP27" i="7"/>
  <c r="AB28" i="7" a="1"/>
  <c r="AB28" i="7" s="1"/>
  <c r="AC28" i="7" a="1"/>
  <c r="AC28" i="7"/>
  <c r="AD28" i="7" a="1"/>
  <c r="AD28" i="7" s="1"/>
  <c r="AE28" i="7" a="1"/>
  <c r="AE28" i="7" s="1"/>
  <c r="AF28" i="7" a="1"/>
  <c r="AF28" i="7" s="1"/>
  <c r="AG28" i="7" a="1"/>
  <c r="AG28" i="7" s="1"/>
  <c r="AH28" i="7" a="1"/>
  <c r="AH28" i="7" s="1"/>
  <c r="AI28" i="7" a="1"/>
  <c r="AI28" i="7"/>
  <c r="AJ28" i="7" a="1"/>
  <c r="AJ28" i="7" s="1"/>
  <c r="AK28" i="7" a="1"/>
  <c r="AK28" i="7" s="1"/>
  <c r="AL28" i="7" a="1"/>
  <c r="AL28" i="7" s="1"/>
  <c r="AM28" i="7" a="1"/>
  <c r="AM28" i="7" s="1"/>
  <c r="AN28" i="7" a="1"/>
  <c r="AN28" i="7" s="1"/>
  <c r="AO28" i="7" a="1"/>
  <c r="AO28" i="7" s="1"/>
  <c r="AP28" i="7" a="1"/>
  <c r="AP28" i="7" s="1"/>
  <c r="AB29" i="7" a="1"/>
  <c r="AB29" i="7" s="1"/>
  <c r="AC29" i="7" a="1"/>
  <c r="AC29" i="7" s="1"/>
  <c r="AD29" i="7" a="1"/>
  <c r="AD29" i="7"/>
  <c r="AE29" i="7" a="1"/>
  <c r="AE29" i="7" s="1"/>
  <c r="AF29" i="7" a="1"/>
  <c r="AF29" i="7" s="1"/>
  <c r="AG29" i="7" a="1"/>
  <c r="AG29" i="7" s="1"/>
  <c r="AH29" i="7" a="1"/>
  <c r="AH29" i="7" s="1"/>
  <c r="AI29" i="7" a="1"/>
  <c r="AI29" i="7"/>
  <c r="AJ29" i="7" a="1"/>
  <c r="AJ29" i="7" s="1"/>
  <c r="AK29" i="7" a="1"/>
  <c r="AK29" i="7" s="1"/>
  <c r="AL29" i="7" a="1"/>
  <c r="AL29" i="7"/>
  <c r="AM29" i="7" a="1"/>
  <c r="AM29" i="7" s="1"/>
  <c r="AN29" i="7" a="1"/>
  <c r="AN29" i="7"/>
  <c r="AO29" i="7" a="1"/>
  <c r="AO29" i="7" s="1"/>
  <c r="AP29" i="7" a="1"/>
  <c r="AP29" i="7" s="1"/>
  <c r="AB30" i="7" a="1"/>
  <c r="AB30" i="7" s="1"/>
  <c r="AC30" i="7" a="1"/>
  <c r="AC30" i="7" s="1"/>
  <c r="AD30" i="7" a="1"/>
  <c r="AD30" i="7"/>
  <c r="AE30" i="7" a="1"/>
  <c r="AE30" i="7" s="1"/>
  <c r="AF30" i="7" a="1"/>
  <c r="AF30" i="7" s="1"/>
  <c r="AG30" i="7" a="1"/>
  <c r="AG30" i="7" s="1"/>
  <c r="AH30" i="7" a="1"/>
  <c r="AH30" i="7" s="1"/>
  <c r="AI30" i="7" a="1"/>
  <c r="AI30" i="7"/>
  <c r="AJ30" i="7" a="1"/>
  <c r="AJ30" i="7" s="1"/>
  <c r="AK30" i="7" a="1"/>
  <c r="AK30" i="7" s="1"/>
  <c r="AL30" i="7" a="1"/>
  <c r="AL30" i="7" s="1"/>
  <c r="AM30" i="7" a="1"/>
  <c r="AM30" i="7" s="1"/>
  <c r="AN30" i="7" a="1"/>
  <c r="AN30" i="7" s="1"/>
  <c r="AO30" i="7" a="1"/>
  <c r="AO30" i="7"/>
  <c r="AP30" i="7" a="1"/>
  <c r="AP30" i="7"/>
  <c r="AB31" i="7" a="1"/>
  <c r="AB31" i="7"/>
  <c r="AC31" i="7" a="1"/>
  <c r="AC31" i="7" s="1"/>
  <c r="AD31" i="7" a="1"/>
  <c r="AD31" i="7" s="1"/>
  <c r="AE31" i="7" a="1"/>
  <c r="AE31" i="7" s="1"/>
  <c r="AF31" i="7" a="1"/>
  <c r="AF31" i="7" s="1"/>
  <c r="AG31" i="7" a="1"/>
  <c r="AG31" i="7" s="1"/>
  <c r="AH31" i="7" a="1"/>
  <c r="AH31" i="7" s="1"/>
  <c r="AI31" i="7" a="1"/>
  <c r="AI31" i="7" s="1"/>
  <c r="AJ31" i="7" a="1"/>
  <c r="AJ31" i="7" s="1"/>
  <c r="AK31" i="7" a="1"/>
  <c r="AK31" i="7"/>
  <c r="AL31" i="7" a="1"/>
  <c r="AL31" i="7"/>
  <c r="AM31" i="7" a="1"/>
  <c r="AM31" i="7" s="1"/>
  <c r="AN31" i="7" a="1"/>
  <c r="AN31" i="7" s="1"/>
  <c r="AO31" i="7" a="1"/>
  <c r="AO31" i="7" s="1"/>
  <c r="AP31" i="7" a="1"/>
  <c r="AP31" i="7" s="1"/>
  <c r="AB32" i="7" a="1"/>
  <c r="AB32" i="7" s="1"/>
  <c r="AC32" i="7" a="1"/>
  <c r="AC32" i="7" s="1"/>
  <c r="AD32" i="7" a="1"/>
  <c r="AD32" i="7" s="1"/>
  <c r="AE32" i="7" a="1"/>
  <c r="AE32" i="7"/>
  <c r="AF32" i="7" a="1"/>
  <c r="AF32" i="7" s="1"/>
  <c r="AG32" i="7" a="1"/>
  <c r="AG32" i="7" s="1"/>
  <c r="AH32" i="7" a="1"/>
  <c r="AH32" i="7" s="1"/>
  <c r="AI32" i="7" a="1"/>
  <c r="AI32" i="7" s="1"/>
  <c r="AJ32" i="7" a="1"/>
  <c r="AJ32" i="7" s="1"/>
  <c r="AK32" i="7" a="1"/>
  <c r="AK32" i="7"/>
  <c r="AL32" i="7" a="1"/>
  <c r="AL32" i="7" s="1"/>
  <c r="AM32" i="7" a="1"/>
  <c r="AM32" i="7" s="1"/>
  <c r="AN32" i="7" a="1"/>
  <c r="AN32" i="7"/>
  <c r="AO32" i="7" a="1"/>
  <c r="AO32" i="7"/>
  <c r="AP32" i="7" a="1"/>
  <c r="AP32" i="7" s="1"/>
  <c r="AB33" i="7" a="1"/>
  <c r="AB33" i="7"/>
  <c r="AC33" i="7" a="1"/>
  <c r="AC33" i="7" s="1"/>
  <c r="AD33" i="7" a="1"/>
  <c r="AD33" i="7" s="1"/>
  <c r="AE33" i="7" a="1"/>
  <c r="AE33" i="7" s="1"/>
  <c r="AF33" i="7" a="1"/>
  <c r="AF33" i="7" s="1"/>
  <c r="AG33" i="7" a="1"/>
  <c r="AG33" i="7" s="1"/>
  <c r="AH33" i="7" a="1"/>
  <c r="AH33" i="7"/>
  <c r="AI33" i="7" a="1"/>
  <c r="AI33" i="7" s="1"/>
  <c r="AJ33" i="7" a="1"/>
  <c r="AJ33" i="7" s="1"/>
  <c r="AK33" i="7" a="1"/>
  <c r="AK33" i="7" s="1"/>
  <c r="AL33" i="7" a="1"/>
  <c r="AL33" i="7"/>
  <c r="AM33" i="7" a="1"/>
  <c r="AM33" i="7"/>
  <c r="AN33" i="7" a="1"/>
  <c r="AN33" i="7" s="1"/>
  <c r="AO33" i="7" a="1"/>
  <c r="AO33" i="7" s="1"/>
  <c r="AP33" i="7" a="1"/>
  <c r="AP33" i="7" s="1"/>
  <c r="AB34" i="7" a="1"/>
  <c r="AB34" i="7" s="1"/>
  <c r="AC34" i="7" a="1"/>
  <c r="AC34" i="7"/>
  <c r="AD34" i="7" a="1"/>
  <c r="AD34" i="7" s="1"/>
  <c r="AE34" i="7" a="1"/>
  <c r="AE34" i="7"/>
  <c r="AF34" i="7" a="1"/>
  <c r="AF34" i="7" s="1"/>
  <c r="AG34" i="7" a="1"/>
  <c r="AG34" i="7" s="1"/>
  <c r="AH34" i="7" a="1"/>
  <c r="AH34" i="7" s="1"/>
  <c r="AI34" i="7" a="1"/>
  <c r="AI34" i="7" s="1"/>
  <c r="AJ34" i="7" a="1"/>
  <c r="AJ34" i="7" s="1"/>
  <c r="AK34" i="7" a="1"/>
  <c r="AK34" i="7"/>
  <c r="AL34" i="7" a="1"/>
  <c r="AL34" i="7" s="1"/>
  <c r="AM34" i="7" a="1"/>
  <c r="AM34" i="7" s="1"/>
  <c r="AN34" i="7" a="1"/>
  <c r="AN34" i="7"/>
  <c r="AO34" i="7" a="1"/>
  <c r="AO34" i="7" s="1"/>
  <c r="AP34" i="7" a="1"/>
  <c r="AP34" i="7" s="1"/>
  <c r="AB35" i="7" a="1"/>
  <c r="AB35" i="7" s="1"/>
  <c r="AC35" i="7" a="1"/>
  <c r="AC35" i="7"/>
  <c r="AD35" i="7" a="1"/>
  <c r="AD35" i="7" s="1"/>
  <c r="AE35" i="7" a="1"/>
  <c r="AE35" i="7"/>
  <c r="AF35" i="7" a="1"/>
  <c r="AF35" i="7" s="1"/>
  <c r="AG35" i="7" a="1"/>
  <c r="AG35" i="7"/>
  <c r="AH35" i="7" a="1"/>
  <c r="AH35" i="7" s="1"/>
  <c r="AI35" i="7" a="1"/>
  <c r="AI35" i="7"/>
  <c r="AJ35" i="7" a="1"/>
  <c r="AJ35" i="7" s="1"/>
  <c r="AK35" i="7" a="1"/>
  <c r="AK35" i="7" s="1"/>
  <c r="AL35" i="7" a="1"/>
  <c r="AL35" i="7"/>
  <c r="AM35" i="7" a="1"/>
  <c r="AM35" i="7" s="1"/>
  <c r="AN35" i="7" a="1"/>
  <c r="AN35" i="7" s="1"/>
  <c r="AO35" i="7" a="1"/>
  <c r="AO35" i="7"/>
  <c r="AP35" i="7" a="1"/>
  <c r="AP35" i="7" s="1"/>
  <c r="AB36" i="7" a="1"/>
  <c r="AB36" i="7" s="1"/>
  <c r="AC36" i="7" a="1"/>
  <c r="AC36" i="7"/>
  <c r="AD36" i="7" a="1"/>
  <c r="AD36" i="7" s="1"/>
  <c r="AE36" i="7" a="1"/>
  <c r="AE36" i="7" s="1"/>
  <c r="AF36" i="7" a="1"/>
  <c r="AF36" i="7" s="1"/>
  <c r="AG36" i="7" a="1"/>
  <c r="AG36" i="7" s="1"/>
  <c r="AH36" i="7" a="1"/>
  <c r="AH36" i="7"/>
  <c r="AI36" i="7" a="1"/>
  <c r="AI36" i="7" s="1"/>
  <c r="AJ36" i="7" a="1"/>
  <c r="AJ36" i="7" s="1"/>
  <c r="AK36" i="7" a="1"/>
  <c r="AK36" i="7"/>
  <c r="AL36" i="7" a="1"/>
  <c r="AL36" i="7" s="1"/>
  <c r="AM36" i="7" a="1"/>
  <c r="AM36" i="7" s="1"/>
  <c r="AN36" i="7" a="1"/>
  <c r="AN36" i="7" s="1"/>
  <c r="AO36" i="7" a="1"/>
  <c r="AO36" i="7" s="1"/>
  <c r="AP36" i="7" a="1"/>
  <c r="AP36" i="7"/>
  <c r="AB37" i="7" a="1"/>
  <c r="AB37" i="7" s="1"/>
  <c r="AC37" i="7" a="1"/>
  <c r="AC37" i="7"/>
  <c r="AD37" i="7" a="1"/>
  <c r="AD37" i="7" s="1"/>
  <c r="AE37" i="7" a="1"/>
  <c r="AE37" i="7"/>
  <c r="AF37" i="7" a="1"/>
  <c r="AF37" i="7" s="1"/>
  <c r="AG37" i="7" a="1"/>
  <c r="AG37" i="7" s="1"/>
  <c r="AH37" i="7" a="1"/>
  <c r="AH37" i="7" s="1"/>
  <c r="AI37" i="7" a="1"/>
  <c r="AI37" i="7" s="1"/>
  <c r="AJ37" i="7" a="1"/>
  <c r="AJ37" i="7"/>
  <c r="AK37" i="7" a="1"/>
  <c r="AK37" i="7" s="1"/>
  <c r="AL37" i="7" a="1"/>
  <c r="AL37" i="7" s="1"/>
  <c r="AM37" i="7" a="1"/>
  <c r="AM37" i="7" s="1"/>
  <c r="AN37" i="7" a="1"/>
  <c r="AN37" i="7" s="1"/>
  <c r="AO37" i="7" a="1"/>
  <c r="AO37" i="7" s="1"/>
  <c r="AP37" i="7" a="1"/>
  <c r="AP37" i="7" s="1"/>
  <c r="AB38" i="7" a="1"/>
  <c r="AB38" i="7" s="1"/>
  <c r="AC38" i="7" a="1"/>
  <c r="AC38" i="7" s="1"/>
  <c r="AD38" i="7" a="1"/>
  <c r="AD38" i="7"/>
  <c r="AE38" i="7" a="1"/>
  <c r="AE38" i="7" s="1"/>
  <c r="AF38" i="7" a="1"/>
  <c r="AF38" i="7" s="1"/>
  <c r="AG38" i="7" a="1"/>
  <c r="AG38" i="7"/>
  <c r="AH38" i="7" a="1"/>
  <c r="AH38" i="7" s="1"/>
  <c r="AI38" i="7" a="1"/>
  <c r="AI38" i="7"/>
  <c r="AJ38" i="7" a="1"/>
  <c r="AJ38" i="7" s="1"/>
  <c r="AK38" i="7" a="1"/>
  <c r="AK38" i="7" s="1"/>
  <c r="AL38" i="7" a="1"/>
  <c r="AL38" i="7" s="1"/>
  <c r="AM38" i="7" a="1"/>
  <c r="AM38" i="7"/>
  <c r="AN38" i="7" a="1"/>
  <c r="AN38" i="7" s="1"/>
  <c r="AO38" i="7" a="1"/>
  <c r="AO38" i="7"/>
  <c r="AP38" i="7" a="1"/>
  <c r="AP38" i="7" s="1"/>
  <c r="AB39" i="7" a="1"/>
  <c r="AB39" i="7"/>
  <c r="AC39" i="7" a="1"/>
  <c r="AC39" i="7" s="1"/>
  <c r="AD39" i="7" a="1"/>
  <c r="AD39" i="7" s="1"/>
  <c r="AE39" i="7" a="1"/>
  <c r="AE39" i="7" s="1"/>
  <c r="AF39" i="7" a="1"/>
  <c r="AF39" i="7" s="1"/>
  <c r="AG39" i="7" a="1"/>
  <c r="AG39" i="7" s="1"/>
  <c r="AH39" i="7" a="1"/>
  <c r="AH39" i="7"/>
  <c r="AI39" i="7" a="1"/>
  <c r="AI39" i="7" s="1"/>
  <c r="AJ39" i="7" a="1"/>
  <c r="AJ39" i="7" s="1"/>
  <c r="AK39" i="7" a="1"/>
  <c r="AK39" i="7"/>
  <c r="AL39" i="7" a="1"/>
  <c r="AL39" i="7" s="1"/>
  <c r="AM39" i="7" a="1"/>
  <c r="AM39" i="7" s="1"/>
  <c r="AN39" i="7" a="1"/>
  <c r="AN39" i="7"/>
  <c r="AO39" i="7" a="1"/>
  <c r="AO39" i="7" s="1"/>
  <c r="AP39" i="7" a="1"/>
  <c r="AP39" i="7" s="1"/>
  <c r="AB40" i="7" a="1"/>
  <c r="AB40" i="7" s="1"/>
  <c r="AC40" i="7" a="1"/>
  <c r="AC40" i="7" s="1"/>
  <c r="AD40" i="7" a="1"/>
  <c r="AD40" i="7" s="1"/>
  <c r="AE40" i="7" a="1"/>
  <c r="AE40" i="7"/>
  <c r="AF40" i="7" a="1"/>
  <c r="AF40" i="7" s="1"/>
  <c r="AG40" i="7" a="1"/>
  <c r="AG40" i="7" s="1"/>
  <c r="AH40" i="7" a="1"/>
  <c r="AH40" i="7" s="1"/>
  <c r="AI40" i="7" a="1"/>
  <c r="AI40" i="7" s="1"/>
  <c r="AJ40" i="7" a="1"/>
  <c r="AJ40" i="7" s="1"/>
  <c r="AK40" i="7" a="1"/>
  <c r="AK40" i="7" s="1"/>
  <c r="AL40" i="7" a="1"/>
  <c r="AL40" i="7" s="1"/>
  <c r="AM40" i="7" a="1"/>
  <c r="AM40" i="7"/>
  <c r="AN40" i="7" a="1"/>
  <c r="AN40" i="7" s="1"/>
  <c r="AO40" i="7" a="1"/>
  <c r="AO40" i="7"/>
  <c r="AP40" i="7" a="1"/>
  <c r="AP40" i="7" s="1"/>
  <c r="AB41" i="7" a="1"/>
  <c r="AB41" i="7" s="1"/>
  <c r="AC41" i="7" a="1"/>
  <c r="AC41" i="7" s="1"/>
  <c r="AD41" i="7" a="1"/>
  <c r="AD41" i="7"/>
  <c r="AE41" i="7" a="1"/>
  <c r="AE41" i="7" s="1"/>
  <c r="AF41" i="7" a="1"/>
  <c r="AF41" i="7" s="1"/>
  <c r="AG41" i="7" a="1"/>
  <c r="AG41" i="7" s="1"/>
  <c r="AH41" i="7" a="1"/>
  <c r="AH41" i="7"/>
  <c r="AI41" i="7" a="1"/>
  <c r="AI41" i="7"/>
  <c r="AJ41" i="7" a="1"/>
  <c r="AJ41" i="7" s="1"/>
  <c r="AK41" i="7" a="1"/>
  <c r="AK41" i="7" s="1"/>
  <c r="AL41" i="7" a="1"/>
  <c r="AL41" i="7"/>
  <c r="AM41" i="7" a="1"/>
  <c r="AM41" i="7" s="1"/>
  <c r="AN41" i="7" a="1"/>
  <c r="AN41" i="7" s="1"/>
  <c r="AO41" i="7" a="1"/>
  <c r="AO41" i="7" s="1"/>
  <c r="AP41" i="7" a="1"/>
  <c r="AP41" i="7" s="1"/>
  <c r="AB42" i="7" a="1"/>
  <c r="AB42" i="7" s="1"/>
  <c r="AC42" i="7" a="1"/>
  <c r="AC42" i="7"/>
  <c r="AD42" i="7" a="1"/>
  <c r="AD42" i="7" s="1"/>
  <c r="AE42" i="7" a="1"/>
  <c r="AE42" i="7"/>
  <c r="AF42" i="7" a="1"/>
  <c r="AF42" i="7" s="1"/>
  <c r="AG42" i="7" a="1"/>
  <c r="AG42" i="7"/>
  <c r="AH42" i="7" a="1"/>
  <c r="AH42" i="7"/>
  <c r="AI42" i="7" a="1"/>
  <c r="AI42" i="7" s="1"/>
  <c r="AJ42" i="7" a="1"/>
  <c r="AJ42" i="7" s="1"/>
  <c r="AK42" i="7" a="1"/>
  <c r="AK42" i="7" s="1"/>
  <c r="AL42" i="7" a="1"/>
  <c r="AL42" i="7"/>
  <c r="AM42" i="7" a="1"/>
  <c r="AM42" i="7"/>
  <c r="AN42" i="7" a="1"/>
  <c r="AN42" i="7" s="1"/>
  <c r="AO42" i="7" a="1"/>
  <c r="AO42" i="7" s="1"/>
  <c r="AP42" i="7" a="1"/>
  <c r="AP42" i="7"/>
  <c r="AB43" i="7" a="1"/>
  <c r="AB43" i="7" s="1"/>
  <c r="AC43" i="7" a="1"/>
  <c r="AC43" i="7"/>
  <c r="AD43" i="7" a="1"/>
  <c r="AD43" i="7" s="1"/>
  <c r="AE43" i="7" a="1"/>
  <c r="AE43" i="7" s="1"/>
  <c r="AF43" i="7" a="1"/>
  <c r="AF43" i="7" s="1"/>
  <c r="AG43" i="7" a="1"/>
  <c r="AG43" i="7" s="1"/>
  <c r="AH43" i="7" a="1"/>
  <c r="AH43" i="7"/>
  <c r="AI43" i="7" a="1"/>
  <c r="AI43" i="7" s="1"/>
  <c r="AJ43" i="7" a="1"/>
  <c r="AJ43" i="7" s="1"/>
  <c r="AK43" i="7" a="1"/>
  <c r="AK43" i="7"/>
  <c r="AL43" i="7" a="1"/>
  <c r="AL43" i="7" s="1"/>
  <c r="AM43" i="7" a="1"/>
  <c r="AM43" i="7" s="1"/>
  <c r="AN43" i="7" a="1"/>
  <c r="AN43" i="7"/>
  <c r="AO43" i="7" a="1"/>
  <c r="AO43" i="7" s="1"/>
  <c r="AP43" i="7" a="1"/>
  <c r="AP43" i="7"/>
  <c r="AB44" i="7" a="1"/>
  <c r="AB44" i="7" s="1"/>
  <c r="AC44" i="7" a="1"/>
  <c r="AC44" i="7"/>
  <c r="AD44" i="7" a="1"/>
  <c r="AD44" i="7" s="1"/>
  <c r="AE44" i="7" a="1"/>
  <c r="AE44" i="7" s="1"/>
  <c r="AF44" i="7" a="1"/>
  <c r="AF44" i="7" s="1"/>
  <c r="AG44" i="7" a="1"/>
  <c r="AG44" i="7" s="1"/>
  <c r="AH44" i="7" a="1"/>
  <c r="AH44" i="7" s="1"/>
  <c r="AI44" i="7" a="1"/>
  <c r="AI44" i="7"/>
  <c r="AJ44" i="7" a="1"/>
  <c r="AJ44" i="7" s="1"/>
  <c r="AK44" i="7" a="1"/>
  <c r="AK44" i="7"/>
  <c r="AL44" i="7" a="1"/>
  <c r="AL44" i="7" s="1"/>
  <c r="AM44" i="7" a="1"/>
  <c r="AM44" i="7" s="1"/>
  <c r="AN44" i="7" a="1"/>
  <c r="AN44" i="7" s="1"/>
  <c r="AO44" i="7" a="1"/>
  <c r="AO44" i="7"/>
  <c r="AP44" i="7" a="1"/>
  <c r="AP44" i="7" s="1"/>
  <c r="AB45" i="7" a="1"/>
  <c r="AB45" i="7"/>
  <c r="AC45" i="7" a="1"/>
  <c r="AC45" i="7" s="1"/>
  <c r="AD45" i="7" a="1"/>
  <c r="AD45" i="7"/>
  <c r="AE45" i="7" a="1"/>
  <c r="AE45" i="7" s="1"/>
  <c r="AF45" i="7" a="1"/>
  <c r="AF45" i="7" s="1"/>
  <c r="AG45" i="7" a="1"/>
  <c r="AG45" i="7" s="1"/>
  <c r="AH45" i="7" a="1"/>
  <c r="AH45" i="7" s="1"/>
  <c r="AI45" i="7" a="1"/>
  <c r="AI45" i="7" s="1"/>
  <c r="AJ45" i="7" a="1"/>
  <c r="AJ45" i="7"/>
  <c r="AK45" i="7" a="1"/>
  <c r="AK45" i="7" s="1"/>
  <c r="AL45" i="7" a="1"/>
  <c r="AL45" i="7"/>
  <c r="AM45" i="7" a="1"/>
  <c r="AM45" i="7"/>
  <c r="AN45" i="7" a="1"/>
  <c r="AN45" i="7" s="1"/>
  <c r="AO45" i="7" a="1"/>
  <c r="AO45" i="7" s="1"/>
  <c r="AP45" i="7" a="1"/>
  <c r="AP45" i="7"/>
  <c r="AB46" i="7" a="1"/>
  <c r="AB46" i="7" s="1"/>
  <c r="AC46" i="7" a="1"/>
  <c r="AC46" i="7" s="1"/>
  <c r="AD46" i="7" a="1"/>
  <c r="AD46" i="7" s="1"/>
  <c r="AE46" i="7" a="1"/>
  <c r="AE46" i="7"/>
  <c r="AF46" i="7" a="1"/>
  <c r="AF46" i="7" s="1"/>
  <c r="AG46" i="7" a="1"/>
  <c r="AG46" i="7"/>
  <c r="AH46" i="7" a="1"/>
  <c r="AH46" i="7"/>
  <c r="AI46" i="7" a="1"/>
  <c r="AI46" i="7" s="1"/>
  <c r="AJ46" i="7" a="1"/>
  <c r="AJ46" i="7" s="1"/>
  <c r="AK46" i="7" a="1"/>
  <c r="AK46" i="7" s="1"/>
  <c r="AL46" i="7" a="1"/>
  <c r="AL46" i="7" s="1"/>
  <c r="AM46" i="7" a="1"/>
  <c r="AM46" i="7" s="1"/>
  <c r="AN46" i="7" a="1"/>
  <c r="AN46" i="7" s="1"/>
  <c r="AO46" i="7" a="1"/>
  <c r="AO46" i="7" s="1"/>
  <c r="AP46" i="7" a="1"/>
  <c r="AP46" i="7"/>
  <c r="AB47" i="7" a="1"/>
  <c r="AB47" i="7"/>
  <c r="AC47" i="7" a="1"/>
  <c r="AC47" i="7"/>
  <c r="AD47" i="7" a="1"/>
  <c r="AD47" i="7" s="1"/>
  <c r="AE47" i="7" a="1"/>
  <c r="AE47" i="7" s="1"/>
  <c r="AF47" i="7" a="1"/>
  <c r="AF47" i="7" s="1"/>
  <c r="AG47" i="7" a="1"/>
  <c r="AG47" i="7" s="1"/>
  <c r="AH47" i="7" a="1"/>
  <c r="AH47" i="7" s="1"/>
  <c r="AI47" i="7" a="1"/>
  <c r="AI47" i="7" s="1"/>
  <c r="AJ47" i="7" a="1"/>
  <c r="AJ47" i="7"/>
  <c r="AK47" i="7" a="1"/>
  <c r="AK47" i="7"/>
  <c r="AL47" i="7" a="1"/>
  <c r="AL47" i="7" s="1"/>
  <c r="AM47" i="7" a="1"/>
  <c r="AM47" i="7" s="1"/>
  <c r="AN47" i="7" a="1"/>
  <c r="AN47" i="7"/>
  <c r="AO47" i="7" a="1"/>
  <c r="AO47" i="7" s="1"/>
  <c r="AP47" i="7" a="1"/>
  <c r="AP47" i="7" s="1"/>
  <c r="AB48" i="7" a="1"/>
  <c r="AB48" i="7" s="1"/>
  <c r="AC48" i="7" a="1"/>
  <c r="AC48" i="7" s="1"/>
  <c r="AD48" i="7" a="1"/>
  <c r="AD48" i="7" s="1"/>
  <c r="AE48" i="7" a="1"/>
  <c r="AE48" i="7"/>
  <c r="AF48" i="7" a="1"/>
  <c r="AF48" i="7" s="1"/>
  <c r="AG48" i="7" a="1"/>
  <c r="AG48" i="7"/>
  <c r="AH48" i="7" a="1"/>
  <c r="AH48" i="7" s="1"/>
  <c r="AI48" i="7" a="1"/>
  <c r="AI48" i="7"/>
  <c r="AJ48" i="7" a="1"/>
  <c r="AJ48" i="7"/>
  <c r="AK48" i="7" a="1"/>
  <c r="AK48" i="7"/>
  <c r="AL48" i="7" a="1"/>
  <c r="AL48" i="7" s="1"/>
  <c r="AM48" i="7" a="1"/>
  <c r="AM48" i="7"/>
  <c r="AN48" i="7" a="1"/>
  <c r="AN48" i="7"/>
  <c r="AO48" i="7" a="1"/>
  <c r="AO48" i="7" s="1"/>
  <c r="AP48" i="7" a="1"/>
  <c r="AP48" i="7" s="1"/>
  <c r="AB49" i="7" a="1"/>
  <c r="AB49" i="7" s="1"/>
  <c r="AC49" i="7" a="1"/>
  <c r="AC49" i="7" s="1"/>
  <c r="AD49" i="7" a="1"/>
  <c r="AD49" i="7"/>
  <c r="AE49" i="7" a="1"/>
  <c r="AE49" i="7" s="1"/>
  <c r="AF49" i="7" a="1"/>
  <c r="AF49" i="7" s="1"/>
  <c r="AG49" i="7" a="1"/>
  <c r="AG49" i="7" s="1"/>
  <c r="AH49" i="7" a="1"/>
  <c r="AH49" i="7"/>
  <c r="AI49" i="7" a="1"/>
  <c r="AI49" i="7"/>
  <c r="AJ49" i="7" a="1"/>
  <c r="AJ49" i="7"/>
  <c r="AK49" i="7" a="1"/>
  <c r="AK49" i="7" s="1"/>
  <c r="AL49" i="7" a="1"/>
  <c r="AL49" i="7"/>
  <c r="AM49" i="7" a="1"/>
  <c r="AM49" i="7"/>
  <c r="AN49" i="7" a="1"/>
  <c r="AN49" i="7" s="1"/>
  <c r="AO49" i="7" a="1"/>
  <c r="AO49" i="7" s="1"/>
  <c r="AP49" i="7" a="1"/>
  <c r="AP49" i="7" s="1"/>
  <c r="AB50" i="7" a="1"/>
  <c r="AB50" i="7" s="1"/>
  <c r="AC50" i="7" a="1"/>
  <c r="AC50" i="7"/>
  <c r="AD50" i="7" a="1"/>
  <c r="AD50" i="7" s="1"/>
  <c r="AE50" i="7" a="1"/>
  <c r="AE50" i="7"/>
  <c r="AF50" i="7" a="1"/>
  <c r="AF50" i="7" s="1"/>
  <c r="AG50" i="7" a="1"/>
  <c r="AG50" i="7"/>
  <c r="AH50" i="7" a="1"/>
  <c r="AH50" i="7"/>
  <c r="AI50" i="7" a="1"/>
  <c r="AI50" i="7"/>
  <c r="AJ50" i="7" a="1"/>
  <c r="AJ50" i="7" s="1"/>
  <c r="AK50" i="7" a="1"/>
  <c r="AK50" i="7"/>
  <c r="AL50" i="7" a="1"/>
  <c r="AL50" i="7"/>
  <c r="AM50" i="7" a="1"/>
  <c r="AM50" i="7" s="1"/>
  <c r="AN50" i="7" a="1"/>
  <c r="AN50" i="7" s="1"/>
  <c r="AO50" i="7" a="1"/>
  <c r="AO50" i="7" s="1"/>
  <c r="AP50" i="7" a="1"/>
  <c r="AP50" i="7"/>
  <c r="AB51" i="7" a="1"/>
  <c r="AB51" i="7"/>
  <c r="AC51" i="7" a="1"/>
  <c r="AC51" i="7"/>
  <c r="AD51" i="7" a="1"/>
  <c r="AD51" i="7" s="1"/>
  <c r="AE51" i="7" a="1"/>
  <c r="AE51" i="7" s="1"/>
  <c r="AF51" i="7" a="1"/>
  <c r="AF51" i="7" s="1"/>
  <c r="AG51" i="7" a="1"/>
  <c r="AG51" i="7" s="1"/>
  <c r="AH51" i="7" a="1"/>
  <c r="AH51" i="7"/>
  <c r="AI51" i="7" a="1"/>
  <c r="AI51" i="7" s="1"/>
  <c r="AJ51" i="7" a="1"/>
  <c r="AJ51" i="7"/>
  <c r="AK51" i="7" a="1"/>
  <c r="AK51" i="7"/>
  <c r="AL51" i="7" a="1"/>
  <c r="AL51" i="7"/>
  <c r="AM51" i="7" a="1"/>
  <c r="AM51" i="7" s="1"/>
  <c r="AN51" i="7" a="1"/>
  <c r="AN51" i="7"/>
  <c r="AO51" i="7" a="1"/>
  <c r="AO51" i="7"/>
  <c r="AP51" i="7" a="1"/>
  <c r="AP51" i="7" s="1"/>
  <c r="AA4" i="7" a="1"/>
  <c r="AA4" i="7" s="1"/>
  <c r="AA5" i="7" a="1"/>
  <c r="AA5" i="7" s="1"/>
  <c r="AA6" i="7" a="1"/>
  <c r="AA6" i="7" s="1"/>
  <c r="AA7" i="7" a="1"/>
  <c r="AA7" i="7" s="1"/>
  <c r="AA8" i="7" a="1"/>
  <c r="AA8" i="7" s="1"/>
  <c r="AA9" i="7" a="1"/>
  <c r="AA9" i="7" s="1"/>
  <c r="AA10" i="7" a="1"/>
  <c r="AA10" i="7" s="1"/>
  <c r="AA11" i="7" a="1"/>
  <c r="AA11" i="7" s="1"/>
  <c r="AA12" i="7" a="1"/>
  <c r="AA12" i="7" s="1"/>
  <c r="AA13" i="7" a="1"/>
  <c r="AA13" i="7" s="1"/>
  <c r="AA14" i="7" a="1"/>
  <c r="AA14" i="7" s="1"/>
  <c r="AA15" i="7" a="1"/>
  <c r="AA15" i="7" s="1"/>
  <c r="AA16" i="7" a="1"/>
  <c r="AA16" i="7" s="1"/>
  <c r="AA17" i="7" a="1"/>
  <c r="AA17" i="7" s="1"/>
  <c r="AA18" i="7" a="1"/>
  <c r="AA18" i="7" s="1"/>
  <c r="AA19" i="7" a="1"/>
  <c r="AA19" i="7" s="1"/>
  <c r="AA20" i="7" a="1"/>
  <c r="AA20" i="7" s="1"/>
  <c r="AA21" i="7" a="1"/>
  <c r="AA21" i="7" s="1"/>
  <c r="AA22" i="7" a="1"/>
  <c r="AA22" i="7" s="1"/>
  <c r="AA23" i="7" a="1"/>
  <c r="AA23" i="7" s="1"/>
  <c r="AA24" i="7" a="1"/>
  <c r="AA24" i="7" s="1"/>
  <c r="AA25" i="7" a="1"/>
  <c r="AA25" i="7" s="1"/>
  <c r="AA26" i="7" a="1"/>
  <c r="AA26" i="7" s="1"/>
  <c r="AA27" i="7" a="1"/>
  <c r="AA27" i="7" s="1"/>
  <c r="AA28" i="7" a="1"/>
  <c r="AA28" i="7" s="1"/>
  <c r="AA29" i="7" a="1"/>
  <c r="AA29" i="7" s="1"/>
  <c r="AA30" i="7" a="1"/>
  <c r="AA30" i="7" s="1"/>
  <c r="AA31" i="7" a="1"/>
  <c r="AA31" i="7" s="1"/>
  <c r="AA32" i="7" a="1"/>
  <c r="AA32" i="7" s="1"/>
  <c r="AA33" i="7" a="1"/>
  <c r="AA33" i="7" s="1"/>
  <c r="AA34" i="7" a="1"/>
  <c r="AA34" i="7" s="1"/>
  <c r="AA35" i="7" a="1"/>
  <c r="AA35" i="7" s="1"/>
  <c r="AA36" i="7" a="1"/>
  <c r="AA36" i="7" s="1"/>
  <c r="AA37" i="7" a="1"/>
  <c r="AA37" i="7" s="1"/>
  <c r="AA38" i="7" a="1"/>
  <c r="AA38" i="7" s="1"/>
  <c r="AA39" i="7" a="1"/>
  <c r="AA39" i="7" s="1"/>
  <c r="AA40" i="7" a="1"/>
  <c r="AA40" i="7" s="1"/>
  <c r="AA41" i="7" a="1"/>
  <c r="AA41" i="7" s="1"/>
  <c r="AA42" i="7" a="1"/>
  <c r="AA42" i="7" s="1"/>
  <c r="AA43" i="7" a="1"/>
  <c r="AA43" i="7" s="1"/>
  <c r="AA44" i="7" a="1"/>
  <c r="AA44" i="7" s="1"/>
  <c r="AA45" i="7" a="1"/>
  <c r="AA45" i="7" s="1"/>
  <c r="AA46" i="7" a="1"/>
  <c r="AA46" i="7" s="1"/>
  <c r="AA47" i="7" a="1"/>
  <c r="AA47" i="7" s="1"/>
  <c r="AA48" i="7" a="1"/>
  <c r="AA48" i="7" s="1"/>
  <c r="AA49" i="7" a="1"/>
  <c r="AA49" i="7" s="1"/>
  <c r="AA50" i="7" a="1"/>
  <c r="AA50" i="7" s="1"/>
  <c r="AA51" i="7" a="1"/>
  <c r="AA51" i="7" s="1"/>
  <c r="AA3" i="7" a="1"/>
  <c r="AA3" i="7" s="1"/>
  <c r="AA2" i="7" a="1"/>
  <c r="AA2" i="7" s="1"/>
  <c r="A40" i="4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39" i="4"/>
  <c r="A38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27" i="2"/>
  <c r="A28" i="2" s="1"/>
  <c r="A29" i="2" s="1"/>
  <c r="A30" i="2" s="1"/>
  <c r="A31" i="2" s="1"/>
  <c r="A32" i="2" s="1"/>
  <c r="A25" i="2"/>
  <c r="A16" i="2"/>
  <c r="A17" i="2" s="1"/>
  <c r="A18" i="2" s="1"/>
  <c r="A19" i="2" s="1"/>
  <c r="A20" i="2" s="1"/>
  <c r="A21" i="2" s="1"/>
  <c r="A22" i="2" s="1"/>
  <c r="A23" i="2" s="1"/>
  <c r="A11" i="2"/>
  <c r="A12" i="2" s="1"/>
  <c r="A13" i="2" s="1"/>
  <c r="A33" i="2" l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<sst xmlns="http://schemas.openxmlformats.org/spreadsheetml/2006/main" count="2984" uniqueCount="1853">
  <si>
    <t>Typical issues</t>
  </si>
  <si>
    <t>Mill scale</t>
  </si>
  <si>
    <t>Pickling sludge</t>
  </si>
  <si>
    <t>Stainless steel slag</t>
  </si>
  <si>
    <t>Ladle slag</t>
  </si>
  <si>
    <t>Copper</t>
  </si>
  <si>
    <t>Copper smelter slag</t>
  </si>
  <si>
    <t>Tailings</t>
  </si>
  <si>
    <t>Millions of tons annually</t>
  </si>
  <si>
    <t>Copper pyro metallurgical solid waste</t>
  </si>
  <si>
    <t>Anode slimes</t>
  </si>
  <si>
    <t>Zinc hydrometallurgy</t>
  </si>
  <si>
    <t>Waelz oxide</t>
  </si>
  <si>
    <t>Waelz slag</t>
  </si>
  <si>
    <t>Aluminum</t>
  </si>
  <si>
    <t>Red mud (bauxite residues)</t>
  </si>
  <si>
    <t>Nickel</t>
  </si>
  <si>
    <t>Ferrochrome (Fe Cr)</t>
  </si>
  <si>
    <t>Ferrochrome slag</t>
  </si>
  <si>
    <t>Ferro manganese slag</t>
  </si>
  <si>
    <t>Ferrosilicon (Fe Si)</t>
  </si>
  <si>
    <t>Ferro silicon slag</t>
  </si>
  <si>
    <t>Tungsten</t>
  </si>
  <si>
    <t>Tungsten tailings</t>
  </si>
  <si>
    <t>Tungsten smelting slags</t>
  </si>
  <si>
    <t>Molybdenum tailings</t>
  </si>
  <si>
    <t>Molybdenum roaster residues</t>
  </si>
  <si>
    <t>Chromite Processing</t>
  </si>
  <si>
    <t>Chromite ore processing residues (COPR)</t>
  </si>
  <si>
    <t xml:space="preserve">Manganese Processing </t>
  </si>
  <si>
    <t>Manganese tailings</t>
  </si>
  <si>
    <t>Electrolytic manganese residues (EMR)</t>
  </si>
  <si>
    <t>Tin</t>
  </si>
  <si>
    <t>Tin tailings</t>
  </si>
  <si>
    <t>Tin slags</t>
  </si>
  <si>
    <t>Electrode sludges</t>
  </si>
  <si>
    <t>Circuit board (PCB) concentrates</t>
  </si>
  <si>
    <t>Phosphate Industry</t>
  </si>
  <si>
    <t>Phosphogypsum</t>
  </si>
  <si>
    <t>Phosphoric acid sludges</t>
  </si>
  <si>
    <t>Rare Earth Elements (REEs)</t>
  </si>
  <si>
    <t>TiO2 plant residues</t>
  </si>
  <si>
    <t>Gold</t>
  </si>
  <si>
    <t>Cyanidation tailings</t>
  </si>
  <si>
    <t>PGM slags</t>
  </si>
  <si>
    <t>Silver</t>
  </si>
  <si>
    <t>Acid plant gypsum</t>
  </si>
  <si>
    <t>Spent catalysts</t>
  </si>
  <si>
    <t>Heading</t>
  </si>
  <si>
    <t>Year</t>
  </si>
  <si>
    <t>Metals it covers</t>
  </si>
  <si>
    <t>Links</t>
  </si>
  <si>
    <t>An overview of utilization of slag and sludge from steel industries</t>
  </si>
  <si>
    <t>Fe (iron - dominant, major recovery target in dust/sludge/slag as high-grade feed for sinter/pellets or direct reuse), Zn (zinc - significant in BF/BOF dusts and sludges, potential hydrometallurgical recovery), Pb (lead - present in dusts/sludges, often co-recovered with Zn), Ca (calcium - major component in slags as CaO, contributes to cementitious properties), C (carbon - in BF flue dust, valuable for energy or reduction processes), trace/heavy: As (arsenic), Cd (cadmium), Hg (mercury) as pollutants/hazards with leaching/environmental risks; limited emphasis on Cr, V, Mn, Ni in this overview (more focus on bulk Fe and Zn/Pb recovery from BF and LD residues)</t>
  </si>
  <si>
    <t>https://www.sciencedirect.com/science/article/pii/S0921344906001297</t>
  </si>
  <si>
    <t>Titanium leaching from red mud by diluted sulfuric acid at atmospheric pressure</t>
  </si>
  <si>
    <t>Ti (titanium - primary target for selective leaching from red mud, high recovery potential under mild conditions), Fe (iron - major constituent but often co-dissolved or left as residue), Al (aluminum - partial dissolution from residual alumina phases), trace REEs and Sc (scandium - minor presence, potential co-extraction)</t>
  </si>
  <si>
    <t>https://www.sciencedirect.com/science/article/pii/S030438940800068X</t>
  </si>
  <si>
    <t>Synthesis of ferronickel slag-based geopolymers</t>
  </si>
  <si>
    <t>Ni (nickel - residual in ferronickel slag from laterite smelting), Fe (iron - major matrix element in slag), Si (silicon - key for geopolymerization as amorphous silicate), Mg (magnesium - present in laterite-derived slag), trace Cr (chromium - possible minor content from ore)</t>
  </si>
  <si>
    <t>https://www.sciencedirect.com/science/article/pii/S0892687508001817</t>
  </si>
  <si>
    <t>Chemical, mineralogical, and morphological properties of steel slag</t>
  </si>
  <si>
    <t>Fe (iron - dominant in steel slags as oxides/ferrites), Ca (calcium - major as CaO/free lime, key for cement/aggregate use), Mg (magnesium - as MgO, expansion risk if free), Si (silicon - as silicates), Mn (manganese - alloying element in slags), trace Cr, V (in some BOF/EAF slags, potential leaching concerns)</t>
  </si>
  <si>
    <t>https://www.researchgate.net/publication/258379527_Chemical_Mineralogical_and_Morphological_Properties_of_Steel_Slag</t>
  </si>
  <si>
    <t>Behavior of Platinum Group during Their Pyrometallurgical Recovery from Spent Automotive Catalysts</t>
  </si>
  <si>
    <t>Pt (platinum), Pd (palladium), Rh (rhodium) - all PGMs as primary high-value recovery targets via Cu collection/smelting; trace base metals: Ni, Cu, Fe (from catalyst substrate or collector)</t>
  </si>
  <si>
    <t>https://www.semanticscholar.org/paper/Behavior-of-Platinum-Group-Metals-during-Their-from-Kolliopoulos-Balomenos/502ce8e3a0a74889fc3a3d10a273b64b04041be3</t>
  </si>
  <si>
    <t>Recovery of Silver and Gold from Copper Anode Slimes</t>
  </si>
  <si>
    <t>Ag (silver - major precious metal in slimes), Au (gold - high-value target), Cu (copper - residual from electrorefining), Se (selenium), Te (tellurium), Pb (lead - as impurities), trace PGMs (Pt, Pd if present)</t>
  </si>
  <si>
    <t>https://link.springer.com/article/10.1007/s11837-014-1114-9</t>
  </si>
  <si>
    <t>Rare earth element phases in bauxite residue</t>
  </si>
  <si>
    <t>REEs (rare earth elements - La, Ce, Nd, Pr, Y, etc., as key critical metals in red mud phases), Sc (scandium - enriched in some fractions), trace Fe, Ti, Al (host minerals), Th, U (radioactive traces associated with REE phases)</t>
  </si>
  <si>
    <t>https://www.mdpi.com/2075-163X/8/2/77</t>
  </si>
  <si>
    <t>Zinc recovery from steelmaking dust by hydrometallurgical methods</t>
  </si>
  <si>
    <t>Zn (zinc - primary high-value target from EAF/steelmaking dust, often as ZnO or ferrite), Fe (iron - major but secondary, potential DRI recovery), Pb (lead - co-present, recoverable), Cl (chlorine - impurity affecting process), trace Cd, Cr</t>
  </si>
  <si>
    <t>https://www.mdpi.com/2075-4701/8/7/547</t>
  </si>
  <si>
    <t>Towards circular economy in mining: Opportunities and bottlenecks for tailings valorization</t>
  </si>
  <si>
    <t>Various critical/base metals (Cu, Zn, Ni, Co, Au, REEs, depending on tailings type); general emphasis on economic viability of reprocessing tailings for residual valuables</t>
  </si>
  <si>
    <t>https://cris.vtt.fi/en/publications/towards-circular-economy-in-mining-opportunities-and-bottlenecks-/</t>
  </si>
  <si>
    <t>Hydrometallurgical Processes for the Recovery of Metals from Steel Industry By-Products: A Critical Review</t>
  </si>
  <si>
    <t>Zn (zinc - dominant in dusts), Pb (lead - in dusts/sludges), Fe (iron - from sludges/slags), Cr (chromium - in stainless slags), V (vanadium - in certain slags/dusts)</t>
  </si>
  <si>
    <t>https://link.springer.com/article/10.1007/s40831-020-00306-2</t>
  </si>
  <si>
    <t>A Review on the Recovery of Noble Metals from Anode Slimes</t>
  </si>
  <si>
    <t>Ag (silver), Au (gold), PGMs (Pt, Pd, Rh - high-value noble metals), Se, Te, Cu (base metal matrix)</t>
  </si>
  <si>
    <t>https://www.researchgate.net/publication/331072961_A_Review_on_the_Recovery_of_Noble_Metals_from_Anode_Slimes</t>
  </si>
  <si>
    <t>Ni-Fe catalyst derived from mixed oxides Fe/Mg-bearing metallurgical waste for hydrogen production by steam reforming of biodiesel by-product</t>
  </si>
  <si>
    <t>Ni (nickel - key catalytic element), Fe (iron - major support/oxide phase), Mg (magnesium - from waste source)</t>
  </si>
  <si>
    <t>https://www.sciencedirect.com/science/article/pii/S0926337320307451</t>
  </si>
  <si>
    <t>New eaf slag characterization methodology for strategic metal recovery</t>
  </si>
  <si>
    <t>Fe (iron), Cr (chromium), V (vanadium - strategic/alloying elements in EAF slag)</t>
  </si>
  <si>
    <t>https://www.researchgate.net/publication/350209080_New_EAF_Slag_Characterization_Methodology_for_Strategic_Metal_Recovery</t>
  </si>
  <si>
    <t>SUSTAINABLE VALORIZATION OF STEELMAKING SLAG: FROM METAL EXTRACTION TO CARBON SEQUESTRATION</t>
  </si>
  <si>
    <t>V (vanadium), Cr (chromium), Mn (manganese), Fe (iron - primary in slag extraction)</t>
  </si>
  <si>
    <t>https://utoronto.scholaris.ca/items/ebc2bfe7-fa53-4e1d-8c19-d0d219886467</t>
  </si>
  <si>
    <t>A Review of Circular Economy Prospects for Stainless Steelmaking Slags</t>
  </si>
  <si>
    <t>Cr (chromium), Ni (nickel), Mo (molybdenum), Ti (titanium), V (vanadium - alloying/strategic in stainless slags)</t>
  </si>
  <si>
    <t>https://link.springer.com/article/10.1007/s40831-021-00392-w</t>
  </si>
  <si>
    <t>Residue valorization in the iron and steel industries: Sustainable solutions for a cleaner and more competitive future europe</t>
  </si>
  <si>
    <t>Zn (zinc), Pb (lead), Fe (iron - from dusts, slags, sludges)</t>
  </si>
  <si>
    <t>https://www.mdpi.com/2075-4701/11/8/1202</t>
  </si>
  <si>
    <t>The minerals industry in the era of digital transition: An energy-efficient and environmentally conscious approach</t>
  </si>
  <si>
    <t>Various (broad industry overview, no specific metals detailed)</t>
  </si>
  <si>
    <t>https://www.sciencedirect.com/science/article/pii/S0301420722002975</t>
  </si>
  <si>
    <t>Processing of End-of-Life Materials and Industrial Wastes</t>
  </si>
  <si>
    <t>Various (broad coverage: Cu, Au, Ag, PGMs, Li, Co, Ni, REEs, etc. from e-waste, batteries, slags)</t>
  </si>
  <si>
    <t>https://www.mdpi.com/1996-1944/15/21/7662</t>
  </si>
  <si>
    <t>High‐Selective Extraction of Scandium (Sc) from Bauxite Residue (Red Mud) By Acid Leaching with MgSO4</t>
  </si>
  <si>
    <t>Sc (scandium - highly selective/high-value target), trace REEs, Fe, Al</t>
  </si>
  <si>
    <t>https://www.mdpi.com/1996-1944/15/4/1343</t>
  </si>
  <si>
    <t>Recycling and Reuse of Mine Tailings: A Review of Advancements and Their Implications</t>
  </si>
  <si>
    <t>Au (gold), Cu (copper), U (uranium), REEs (various rare earths)</t>
  </si>
  <si>
    <t>https://www.researchgate.net/publication/362677583_Recycling_and_Reuse_of_Mine_Tailings_A_Review_of_Advancements_and_Their_Implications</t>
  </si>
  <si>
    <t>Investigating Europe′s secondary raw material markets</t>
  </si>
  <si>
    <t>Al (aluminum), Fe (iron), Cu (copper - major secondary raw materials)</t>
  </si>
  <si>
    <t>https://www.eea.europa.eu/en/analysis/publications/investigating-europes-secondary-raw-material</t>
  </si>
  <si>
    <t>Evaluating energy and resource efficiency for recovery of metallurgical residues using environmental and economic analysis</t>
  </si>
  <si>
    <t>Various (energy/resource focus, metals not specified in title/abstract)</t>
  </si>
  <si>
    <t>https://www.sciencedirect.com/science/article/pii/S0959652622013981</t>
  </si>
  <si>
    <t>A review of circular economy strategies for mine tailings</t>
  </si>
  <si>
    <t>Various (Cu, Zn, Au, Ni, Co, REEs - depending on tailings source)</t>
  </si>
  <si>
    <t>https://www.sciencedirect.com/science/article/pii/S2666790822001045</t>
  </si>
  <si>
    <t>High-Iron Bauxite Residue (Red Mud) Valorization Using Hydrochemical Conversion of Goethite to Magnetite</t>
  </si>
  <si>
    <t>Fe (iron - conversion to magnetite for recovery), Al (residual), trace Ti, Sc</t>
  </si>
  <si>
    <t>https://www.mdpi.com/1996-1944/15/23/8423</t>
  </si>
  <si>
    <t>Zinc and Lead Metallurgical Slags as a Potential Source of Metal Recovery: A Review</t>
  </si>
  <si>
    <t>Zn (zinc), Pb (lead - primary targets in slags)</t>
  </si>
  <si>
    <t>https://www.mdpi.com/1996-1944/16/23/7295</t>
  </si>
  <si>
    <t>Life cycle assessment of valuable metal extraction from copper pyrometallurgical solid waste</t>
  </si>
  <si>
    <t>Cu (copper - primary), Au, Ag (precious metals)</t>
  </si>
  <si>
    <t>https://www.sciencedirect.com/science/article/pii/S0921344923000125</t>
  </si>
  <si>
    <t>Developing a Low-Temperature, Carbon-Lean Hybrid Valorisation Process for Bauxite Residue (Red Mud) Towards Metallic Fe and Al Recovery</t>
  </si>
  <si>
    <t>Fe (iron), Al (aluminum - metallic recovery targets)</t>
  </si>
  <si>
    <t>https://www.researchgate.net/publication/369421799_Developing_a_Low-Temperature_Carbon-Lean_Hybrid_Valorisation_Process_for_Bauxite_Residue_Red_Mud_Towards_Metallic_Fe_and_Al_Recovery</t>
  </si>
  <si>
    <t>Optimization of Ball Milling Parameters for Efficient Copper Slag Valorization</t>
  </si>
  <si>
    <t>Cu (copper - primary in slag), Fe (iron matrix)</t>
  </si>
  <si>
    <t>https://www.sciencedirect.com/science/article/pii/S2212827124000568</t>
  </si>
  <si>
    <t>A review of the red mud utilization possibilities</t>
  </si>
  <si>
    <t>Fe (iron), Al (aluminum), Ti (titanium), REEs (various rare earths)</t>
  </si>
  <si>
    <t>https://www.researchgate.net/publication/386078080_A_review_of_the_red_mud_utilization_possibilities</t>
  </si>
  <si>
    <t>Vanadium extraction from steel slag: Generation, recycling and management</t>
  </si>
  <si>
    <t>V (vanadium - primary strategic metal from steel slags)</t>
  </si>
  <si>
    <t>https://www.sciencedirect.com/science/article/pii/S0269749123021280</t>
  </si>
  <si>
    <t>Valorization of Residue from Aluminum Industries: A Review</t>
  </si>
  <si>
    <t>Al (aluminum - primary), Fe, Ti, Sc, REEs (in red mud/residues)</t>
  </si>
  <si>
    <t>https://www.mdpi.com/1996-1944/17/21/5152</t>
  </si>
  <si>
    <t>Strategic Research &amp; Innovation Agenda (SRIA) on Raw Materials</t>
  </si>
  <si>
    <t>https://www.era-min.eu/sites/default/files/docs/eramin_sria.pdf</t>
  </si>
  <si>
    <t>Accelerated Carbonation of Steel Slag and Their Valorisation in Cement Products: A Review</t>
  </si>
  <si>
    <t>Ca (calcium - for carbonation), Fe, Mg, Si (slag components, no strong metal recovery focus)</t>
  </si>
  <si>
    <t>https://www.researchgate.net/publication/380052697_Accelerated_Carbonation_of_Steel_Slag_and_Their_Valorisation_in_Cement_Products_A_Review</t>
  </si>
  <si>
    <t>Selective gold recovery from complex solutions via electrochemical deposition with redox replacement</t>
  </si>
  <si>
    <t>Au (gold - selective/high-value target)</t>
  </si>
  <si>
    <t>https://cris.vtt.fi/en/publications/selective-gold-recovery-from-complex-solutions-via-electrochemica/</t>
  </si>
  <si>
    <t>RMIS - Raw Material Information System</t>
  </si>
  <si>
    <t>Various (raw materials dashboard, broad critical/base metals)</t>
  </si>
  <si>
    <t>https://unece.org/sites/default/files/2024-04/09.%20Simone%20Manfredi.pdf
https://rmis.jrc.ec.europa.eu</t>
  </si>
  <si>
    <t>Valorization of Steel Slag and Fly Ash in Mortar: Modeling Age-Dependent Strength with Response Surface Methodology</t>
  </si>
  <si>
    <t>None (focus on mechanical properties, not metal recovery)</t>
  </si>
  <si>
    <t>https://www.mdpi.com/1996-1944/18/10/2203</t>
  </si>
  <si>
    <t>Advancing circular economy and construction sustainability: transforming mine tailings into high-value cementitious and alkali-activated concrete</t>
  </si>
  <si>
    <t>None (construction material focus, not metal extraction)</t>
  </si>
  <si>
    <t>https://www.semanticscholar.org/paper/Advancing-circular-economy-and-construction-mine-Guo-Qu/039454be831caa5ec5ca0ea7a9a6976a1f66aab1</t>
  </si>
  <si>
    <t>Valorization of Mine Tailings for Sustainable Geopolymer Production</t>
  </si>
  <si>
    <t>None (geopolymer/construction focus)</t>
  </si>
  <si>
    <t>https://ceramics.onlinelibrary.wiley.com/doi/pdf/10.1002/ces2.70014</t>
  </si>
  <si>
    <t>Sustainable Valorization of Waelz Slag: Recovery of Zinc, Manganese, and Iron with Slag Stabilization</t>
  </si>
  <si>
    <t>Zn (zinc), Mn (manganese), Fe (iron - recovery with stabilization)</t>
  </si>
  <si>
    <t>https://pubs.acs.org/doi/full/10.1021/acssusresmgt.5c00262</t>
  </si>
  <si>
    <t>A global review of red mud valorization for sustainable construction, environmental remediation, and catalysis</t>
  </si>
  <si>
    <t>Fe, Al, Ti, REEs, Sc (various valorization routes)</t>
  </si>
  <si>
    <t>https://www.sciencedirect.com/science/article/pii/S2950357425001118</t>
  </si>
  <si>
    <t>Utilization of steelmaking by-products in the construction industry: A comprehensive review of steel slag and steel mill scale</t>
  </si>
  <si>
    <t>None (construction focus, Fe/Ca/Si matrix)</t>
  </si>
  <si>
    <t>https://www.semanticscholar.org/paper/Utilization-of-steelmaking-by-products-in-the-A-of-Soliman-Roghani/b033b2547ea3e15c6fc89213a87beea35ec0324b</t>
  </si>
  <si>
    <t>The Role of FeO/SiO2 Ratio in Valorizing Iron Silicate Slags as Supplementary Cementitious Materials</t>
  </si>
  <si>
    <t>Fe (iron), Si (silicon - ratio critical for SCM performance)</t>
  </si>
  <si>
    <t>https://link.springer.com/article/10.1007/s40831-025-01022-5</t>
  </si>
  <si>
    <t>Gradient Composite Processing Technology for Multi-Source Industrial Solid Waste Valorization</t>
  </si>
  <si>
    <t>Various (multi-source wastes, broad metals)</t>
  </si>
  <si>
    <t>https://www.scopus.com/pages/publications/105021223969?origin=resultslist&amp;source=sd-apx</t>
  </si>
  <si>
    <t>Secondary resources and advanced separation technologies for critical metal recovery: Progress and challenges</t>
  </si>
  <si>
    <t>Critical metals (Li, Co, Ni, REEs, PGMs, Sc, etc.)</t>
  </si>
  <si>
    <t>https://www.sciencedirect.com/science/article/pii/S2213343726004197</t>
  </si>
  <si>
    <t>Alkali-activated mechanochemical decontamination of spent SCR catalysts</t>
  </si>
  <si>
    <t>V (vanadium), W (tungsten), Ti (titanium carrier), As (arsenic - decontamination target)</t>
  </si>
  <si>
    <t>https://www.sciencedirect.com/science/article/pii/S1383586626000729</t>
  </si>
  <si>
    <t>A sustainable route for turning metallurgical wastes into modified zinc ferrite used as anode in lithium ion batteries</t>
  </si>
  <si>
    <t>Zn (zinc), Fe (iron - as zinc ferrite for battery anode)</t>
  </si>
  <si>
    <t>https://www.sciencedirect.com/science/article/pii/S0254058426000039</t>
  </si>
  <si>
    <t>Gold tailing metal extraction and sustainable end-use: a closed-loop review</t>
  </si>
  <si>
    <t>Au (gold - primary residual target), Ag, Cu, Zn (associated)</t>
  </si>
  <si>
    <t>https://www.sciencedirect.com/science/article/pii/S0892687526000191</t>
  </si>
  <si>
    <t>Recovery of lead and fluorine from non-ferrous smelting acid sludge by synergistic leaching and stepwise precipitation</t>
  </si>
  <si>
    <t>Pb (lead - primary recovery), F (fluorine - co-recovery)</t>
  </si>
  <si>
    <t>https://www.sciencedirect.com/science/article/pii/S1383586626000596</t>
  </si>
  <si>
    <t>Valorization of secondary copper slag as aggregate and cement replacement in ultra-high performance concrete</t>
  </si>
  <si>
    <t>Cu (copper - residual in slag), Fe (iron matrix)</t>
  </si>
  <si>
    <t>https://www.sciencedirect.com/science/article/pii/S2352710222005800</t>
  </si>
  <si>
    <t>EPRS_BRI(2024)766253_EN.pdfImplementing the EU's Critical Raw Materials Act</t>
  </si>
  <si>
    <t>EU guidelines for CRM &amp; SRM based on ERMA 2024</t>
  </si>
  <si>
    <t>https://www.europarl.europa.eu/RegData/etudes/BRIE/2024/766253/EPRS_BRI(2024)766253_EN.pdf</t>
  </si>
  <si>
    <t>Exploring the potential of secondary resources/ LA-ICP-MS for critical raw materials characterization</t>
  </si>
  <si>
    <t>based on CRM</t>
  </si>
  <si>
    <t>https://www.sciencedirect.com/science/article/pii/S0039914026001335</t>
  </si>
  <si>
    <t>Valorisation of metallurgical residues via carbothermal reduction: A circular economy approach in the cement and iron and steel industry</t>
  </si>
  <si>
    <t>Steel &amp; cement industry</t>
  </si>
  <si>
    <t>https://journals.sagepub.com/doi/10.1177/0734242X241240040</t>
  </si>
  <si>
    <t>Reuse and valorization practices of mine tailings: a review of existing perspectives and advances</t>
  </si>
  <si>
    <t>https://link.springer.com/article/10.1007/s10098-026-03447-2</t>
  </si>
  <si>
    <t>Near-zero-waste processing of low-grade, complex primary ores and secondary raw materials in Europe: technology development trends</t>
  </si>
  <si>
    <t>https://cris.vtt.fi/en/publications/near-zero-waste-processing-of-low-grade-complex-primary-ores-and-/</t>
  </si>
  <si>
    <t>Process Stage of Generation</t>
  </si>
  <si>
    <t>Primary Source</t>
  </si>
  <si>
    <t>Associated Critical Raw Materials (CRMs)</t>
  </si>
  <si>
    <t>Associated Strategic Raw Materials (SRMs)</t>
  </si>
  <si>
    <t>Average Chemical Composition</t>
  </si>
  <si>
    <t>Chemical Formulae</t>
  </si>
  <si>
    <t>Elemental Composition</t>
  </si>
  <si>
    <t>Production Content</t>
  </si>
  <si>
    <t>pH Level</t>
  </si>
  <si>
    <t>Water Content</t>
  </si>
  <si>
    <t xml:space="preserve">Blast furnace (BF) slag </t>
  </si>
  <si>
    <t>Electric Arc Furnace (EAF) slag</t>
  </si>
  <si>
    <t>Smelter flue dust and baghouse dust</t>
  </si>
  <si>
    <t>Industry or Process</t>
  </si>
  <si>
    <t>Valorization Pathways or Processing</t>
  </si>
  <si>
    <t>Copper or Lead or Zinc</t>
  </si>
  <si>
    <t>Jarosite or goethite leach residues</t>
  </si>
  <si>
    <t>Lead or Zinc smelting</t>
  </si>
  <si>
    <t>Titanium or REE</t>
  </si>
  <si>
    <t>Iron or Steel</t>
  </si>
  <si>
    <t>Molybdenum (Mo)</t>
  </si>
  <si>
    <t>Ferromanganese (Fe Mn)</t>
  </si>
  <si>
    <t>REE digestion residues</t>
  </si>
  <si>
    <t>POX (Pressure Oxidation) residues and Roasting residues</t>
  </si>
  <si>
    <t>Unavailable data</t>
  </si>
  <si>
    <t>Flue dust or ESP dust</t>
  </si>
  <si>
    <t>Not applicable</t>
  </si>
  <si>
    <t>Refractory Au or PGM</t>
  </si>
  <si>
    <t>Environmental Control or Refining</t>
  </si>
  <si>
    <t>Detected Metal / Keyword</t>
  </si>
  <si>
    <t>Suggested Valorization Pathways</t>
  </si>
  <si>
    <t>Iron (Fe)</t>
  </si>
  <si>
    <t>Magnetic separation / Reduction / Smelting / Recycling / Pelletisation</t>
  </si>
  <si>
    <t>Copper (Cu)</t>
  </si>
  <si>
    <t>Flotation / Hydrometallurgical leaching / Slag reduction / Electrorefining</t>
  </si>
  <si>
    <t>Zinc (Zn)</t>
  </si>
  <si>
    <t>Waelz process / Hydrometallurgical leaching / Volatilisation / Dechlorination</t>
  </si>
  <si>
    <t>Lead (Pb)</t>
  </si>
  <si>
    <t>Hydrometallurgical leaching / Volatilisation / Electrorefining / Stabilization</t>
  </si>
  <si>
    <t>Aluminium (Al)</t>
  </si>
  <si>
    <t>Hydrometallurgical leaching / Magnetic separation / Geopolymerization</t>
  </si>
  <si>
    <t>Manganese (Mn)</t>
  </si>
  <si>
    <t>Acid leaching / Roasting / Precipitation</t>
  </si>
  <si>
    <t>Tin (Sn)</t>
  </si>
  <si>
    <t>Gravity separation / Flotation / Carbothermic reduction / Acid leaching</t>
  </si>
  <si>
    <t>Lithium (Li)</t>
  </si>
  <si>
    <t>Acid leaching / Smelting / Direct regeneration</t>
  </si>
  <si>
    <t>Cobalt (Co)</t>
  </si>
  <si>
    <t>Acid leaching / Hydrometallurgical recovery</t>
  </si>
  <si>
    <t>Nickel (Ni)</t>
  </si>
  <si>
    <t>Acid or alkali leaching / Neutralisation</t>
  </si>
  <si>
    <t>Vanadium (V)</t>
  </si>
  <si>
    <t>Oxidation roasting / Selective leaching / Secondary smelting</t>
  </si>
  <si>
    <t>Acid or alkali leaching / Roasting / Beneficiation</t>
  </si>
  <si>
    <t>Scandium (Sc)</t>
  </si>
  <si>
    <t>Selective leaching</t>
  </si>
  <si>
    <t>Niobium / Tantalum (Nb / Ta)</t>
  </si>
  <si>
    <t>Gravity separation / Acid leaching</t>
  </si>
  <si>
    <t>Oxidative roasting / Leaching</t>
  </si>
  <si>
    <t>Tungsten (W)</t>
  </si>
  <si>
    <t>Alkaline or acid leaching / Roasting</t>
  </si>
  <si>
    <t>Titanium (Ti)</t>
  </si>
  <si>
    <t>Acid leaching / Thermal roasting</t>
  </si>
  <si>
    <t>Chromium (Cr)</t>
  </si>
  <si>
    <t>Alkali roasting / Reduction (Cr VI → Cr III) / Leaching</t>
  </si>
  <si>
    <t>Gold (Au)</t>
  </si>
  <si>
    <t>Electrorefining / Leaching / Re‑leaching</t>
  </si>
  <si>
    <t>Silver (Ag)</t>
  </si>
  <si>
    <t>Electrorefining / Leaching</t>
  </si>
  <si>
    <t>Platinum Group Metals (PGMs)</t>
  </si>
  <si>
    <t>Smelting / Hydrometallurgical leaching / Electrorefining</t>
  </si>
  <si>
    <t>Arsenic (As)</t>
  </si>
  <si>
    <t>Stabilization / Leaching</t>
  </si>
  <si>
    <t>Cadmium (Cd)</t>
  </si>
  <si>
    <t>Hydrometallurgical recovery / Stabilization</t>
  </si>
  <si>
    <t>Chlorine / Chlorides (Cl)</t>
  </si>
  <si>
    <t>Dechlorination</t>
  </si>
  <si>
    <t>Sulfur / Sulphur / Sulphides</t>
  </si>
  <si>
    <t>Roasting / Stabilization / Bioleaching</t>
  </si>
  <si>
    <t>Calcium / CaO</t>
  </si>
  <si>
    <t>Carbonation / Cement applications / Stabilization</t>
  </si>
  <si>
    <t>Silica (SiO₂)</t>
  </si>
  <si>
    <t>sio2</t>
  </si>
  <si>
    <t>Mechanical activation / Geopolymerization</t>
  </si>
  <si>
    <t>Alumina (Al₂O₃)</t>
  </si>
  <si>
    <t>al2o3</t>
  </si>
  <si>
    <t>Geopolymerization / Leaching</t>
  </si>
  <si>
    <t>Word mapping No.</t>
  </si>
  <si>
    <t>Ti metal, 49</t>
  </si>
  <si>
    <t>As, 53</t>
  </si>
  <si>
    <t>Cu, 53</t>
  </si>
  <si>
    <t>Physical State of Byproducts</t>
  </si>
  <si>
    <t>Techno–Economic Aspects</t>
  </si>
  <si>
    <t>End–use Applications</t>
  </si>
  <si>
    <t>Basic Oxygen Furnace (BOF) or Linz–Donawitz (LD) slag</t>
  </si>
  <si>
    <t>Blast Furnace (BF) or Basic Oxygen Furnace (BOF) sludge – wet dust</t>
  </si>
  <si>
    <t>Steel (scrap–based)</t>
  </si>
  <si>
    <t>Electric Arc Furnace (EAF) dust – Zn–rich</t>
  </si>
  <si>
    <t>Vanadium – bearing Steel or Iron</t>
  </si>
  <si>
    <t>Slags from vanadium–bearing  steel and iron industry, flue dust</t>
  </si>
  <si>
    <t>Lithium–ion batteries</t>
  </si>
  <si>
    <t xml:space="preserve">Spent Li–ion battery (LIB) black mass </t>
  </si>
  <si>
    <t>E–waste (WEEE)</t>
  </si>
  <si>
    <t>Smelter slag from e–waste</t>
  </si>
  <si>
    <t>Anode slimes from e–waste</t>
  </si>
  <si>
    <t>REE – bearing tailings</t>
  </si>
  <si>
    <t>Sulfur capture (non–ferrous smelting)</t>
  </si>
  <si>
    <t>Hematite (Fe2O3), magnetite (Fe3O4), limonite, siderite [46, 4, 17]</t>
  </si>
  <si>
    <t>Scrap steel, direct reduced iron [17, 19]</t>
  </si>
  <si>
    <t>Titaniferous magnetite, vanadinite [17, 35]</t>
  </si>
  <si>
    <t>Chalcopyrite (CuFeS2), bornite (Cu5FeS4) [31, 49]</t>
  </si>
  <si>
    <t>Chalcopyrite (CuFeS2), galena (PbS), sphalerite (ZnS) [11, 30, 49]</t>
  </si>
  <si>
    <t>Sphalerite (ZnS), EAF dust (zincite, franklinite) [49, 30]</t>
  </si>
  <si>
    <t>Galena (PbS), sphalerite (ZnS) [30, 44]</t>
  </si>
  <si>
    <t>EAF dust and Zn–bearing scraps [30, 44]</t>
  </si>
  <si>
    <t>Laterites ore (nickeliferous limonite), Pentlandite ((Ni,Fe)9S8) [49, 61]</t>
  </si>
  <si>
    <t>Chromite concentrates (FeCr2O4) [15, 17]</t>
  </si>
  <si>
    <t>Manganese ores (MnO2, Mn3O4) [11, 58]</t>
  </si>
  <si>
    <t>Quartz (SiO2) + carbon reductant [17]</t>
  </si>
  <si>
    <t>Scheelite (CaWO4), wolframite ((Fe,Mn)WO4) [27, 11]</t>
  </si>
  <si>
    <t>Molybdenite (MoS2) [49]</t>
  </si>
  <si>
    <t>Chromite (FeCr2O4) [49, 30, 15]</t>
  </si>
  <si>
    <t>Pyrolusite (mnO2), rhodochrosite (MnCO3) [51, 11, 49]</t>
  </si>
  <si>
    <t>Cassiterite (SnO2) [27, 11]</t>
  </si>
  <si>
    <t>Cathode materials: NMC (LiNiMnCoO2), LCO (LiCoO2),LFP (LiFePO4) [49, 51]</t>
  </si>
  <si>
    <t>Printed circuit boards (PCBs), electronic components [24, 39]</t>
  </si>
  <si>
    <t>Phosphate rocks (apatite) (Ca5(PO4)3(F,Cl,OH)) [49]</t>
  </si>
  <si>
    <t>Carbonatite ores, ion–adsorption clays, REE (monazite, xenotime) [49, 7]</t>
  </si>
  <si>
    <t>Ilmenite (FeTiO3), rutile (TiO2), monazite, xenotime [7]</t>
  </si>
  <si>
    <t>Native gold, quartz veins [39, 52]</t>
  </si>
  <si>
    <t>Refractory ores, sperrylite (PtAs2) [12, 52, 5]</t>
  </si>
  <si>
    <t>Argentite (Ag2S), by–products of PborZnorCu [6, 12]</t>
  </si>
  <si>
    <t>Sulfide ores (i.e., chalcopyrites, galena, sphalerite) [11, 30]</t>
  </si>
  <si>
    <t>Off–gas cleaning system or water scrubbing during Blast furnace (BF) or Basic Oxygen Furnace (BOF) operations [1, 11,30]</t>
  </si>
  <si>
    <t>Surface oxidation during hot rolling of steel [46, 11]</t>
  </si>
  <si>
    <t>Acid pickling operation during steel surface treatment [11]</t>
  </si>
  <si>
    <t>Electric Arc Furnace (EAF) steelmaking process [11, 4]</t>
  </si>
  <si>
    <t>EAF off–gas cleaning – baghouse or Electrostatic Precipitator (ESP) dust [8, 11]</t>
  </si>
  <si>
    <t>Stainless steelmaking – EAF or Ladle furnace (LF) [18, 11]</t>
  </si>
  <si>
    <t>Secondary steel refining – Ladle furnace (LF) [4, 17, 46]</t>
  </si>
  <si>
    <t>Steelmaking and V recovery step [35]</t>
  </si>
  <si>
    <t>Copper pyrometallurgy – Matte smelting or converting [33, 31, 54]</t>
  </si>
  <si>
    <t>Off–gas cleaning – Roasters or smelters or converters [31, 53]</t>
  </si>
  <si>
    <t>Beneficiation – floatation or gravity or magnetic separation [10, 23, 27]</t>
  </si>
  <si>
    <t>Copper pyrometallurgy – Smelting or refining [31, 33]</t>
  </si>
  <si>
    <t>Electrorefining – anode slime collection [6, 12]</t>
  </si>
  <si>
    <t>Zn hydrometallurgy, iron removal step [8, 11, 30]</t>
  </si>
  <si>
    <t>Waelz kiln treatment – volatile oxide fraction [44, 30]</t>
  </si>
  <si>
    <t>Waelz kiln treatment – non–volatile slag [44, 30]</t>
  </si>
  <si>
    <t>Alumina refining (Bayer's process) [34, 7, 2, 45]</t>
  </si>
  <si>
    <t>Nickel laterite – High pressure acid leaching [49, 61]</t>
  </si>
  <si>
    <t>FeCr smelting – Submerged arc furnaces [58, 17]</t>
  </si>
  <si>
    <t>FeMn smelting – Submerged arc furnaces [58, 17]</t>
  </si>
  <si>
    <t>FeSi smelting – Submerged arc furnaces [59, 58]</t>
  </si>
  <si>
    <t>W ore beneficiation – Flotation or gravity concentration [23, 27]</t>
  </si>
  <si>
    <t>W smelting – Smelting or reduction [21, 49]</t>
  </si>
  <si>
    <t>Mo beneficiation – Floatation [23, 42]</t>
  </si>
  <si>
    <t>Oxidative roasting of Mo concentrates [21, 49]</t>
  </si>
  <si>
    <t>Chromite alkaline roasting or chemical processing [49, 37]</t>
  </si>
  <si>
    <t>Mn beneficiation – tailings [23, 27]</t>
  </si>
  <si>
    <t>Electrolytic Mn production – residues [49]</t>
  </si>
  <si>
    <t>Sn ore beneficiation – tailings [23, 27]</t>
  </si>
  <si>
    <t>Tin smelting – furnace [21, 49]</t>
  </si>
  <si>
    <t>LIB recycling – mechanical shredding and thermal treatment [51, 49]</t>
  </si>
  <si>
    <t>LIB recycling – post–shredding separation [51, 49]</t>
  </si>
  <si>
    <t>E–waste – shredding of smelting feed [21, 49, 24]</t>
  </si>
  <si>
    <t>E–waste – pyrometallurgical smelting [21, 49, 24]</t>
  </si>
  <si>
    <t>Cu electrorefining of e–waste [21, 12]</t>
  </si>
  <si>
    <t>Smelting – off–gas cleaning [21, 49]</t>
  </si>
  <si>
    <t>Wet process phosphoric acid – gypsum precipitation [49, 61]</t>
  </si>
  <si>
    <t>Phosphoric acid plant – filtration sludges [49, 61]</t>
  </si>
  <si>
    <t>REE beneficiation residues [49, 36]</t>
  </si>
  <si>
    <t>TiO2 sulfate or chloride digestion residues [49, 37]</t>
  </si>
  <si>
    <t>Monazite or Xenotime acid digestion residues [49, 37]</t>
  </si>
  <si>
    <t>Gold extraction – cyanidation (CIL or CIP or Heap leach) [52, 23]</t>
  </si>
  <si>
    <t>Refractory Au or PGM – pressure oxidation or roasting [52, 21]</t>
  </si>
  <si>
    <t>PGM smelting or converting [5]</t>
  </si>
  <si>
    <t>Silver or lead electrorefining [12, 6]</t>
  </si>
  <si>
    <t>Smelter off–gas in H2SO4 plant resulting in gypsum [31, 21]</t>
  </si>
  <si>
    <t>Spent SCR or DeNOx or hydroprocessing catalysts [50, 5]</t>
  </si>
  <si>
    <t>Variability in phase ratio, potential leaching of trace elements [11]</t>
  </si>
  <si>
    <t>75% used for hydraulic binder, aggregates, clinker raw materials, glass ceramics, bricks, silica gel and adsorbents [4, 46]</t>
  </si>
  <si>
    <t>Sc, V, REEs – LREEs and HREEs (La, Y, Nd, Ce) [17]</t>
  </si>
  <si>
    <t>Mn, REEs for magnets ( Nd, Ce, Pr, Sm, Gd, Dy) [4]</t>
  </si>
  <si>
    <t>Potential for carbon dioxide sequestration, internal recycling within the plant [17]</t>
  </si>
  <si>
    <t>Aggregates, asphalt and railway ballast, soil conditioning agent, cement clinker raw material [17, 46]</t>
  </si>
  <si>
    <t>V, Al (bauxite) [11]</t>
  </si>
  <si>
    <t>85–165 kg/t Liquid Steel (LS) (avg. 125 kg/t) [19]</t>
  </si>
  <si>
    <t>Zn and Pb recovery boosts the economic value and recyclability of raw material demand [11]</t>
  </si>
  <si>
    <t>Fe source for sinter, Zn and Pb recovery, magnetite concentrate [11]</t>
  </si>
  <si>
    <t>P, REEs – LREEs and HREEs (La, Y) [11]</t>
  </si>
  <si>
    <t>Oil contamination hence requires de–oiling process [46]</t>
  </si>
  <si>
    <t>High–grade Fe obtained, making it an economic driver for reuse [46]</t>
  </si>
  <si>
    <t>Feed for sinter or pellets, Fe powder, anti–corrosion pigments [46, 51]</t>
  </si>
  <si>
    <t>High acidity, hazardous classification, presence of various metals [11, 53]</t>
  </si>
  <si>
    <t>Fe salt recovery, regeneration of pickling acid, pigments [11]</t>
  </si>
  <si>
    <t>Ni (battery grade) [11]</t>
  </si>
  <si>
    <t>High metal droplets, variable composition, Cr (VI) risk [15, 17]</t>
  </si>
  <si>
    <t>Recovery of alloy elements (Cr or V or Mo)that is economically beneficial [17, 15]</t>
  </si>
  <si>
    <t>Aggregates, Supplementary Cementitious Material (SCM), Cr or V or Mo concentrates, alkali–activated binders [15, 17]</t>
  </si>
  <si>
    <t>V, Nb, Al (bauxite), Ti, Mg [15]</t>
  </si>
  <si>
    <t>Mg metal, Ti metal [17]</t>
  </si>
  <si>
    <t>Hazardous presence of Pb or Cd or Cr, fine particles, Cl contamination [11, 30]</t>
  </si>
  <si>
    <t>Major secondary source of Zn globally, advantageous Waelz processing [30,17]</t>
  </si>
  <si>
    <t>High–grade ZnO, Zn metal, Fe–rich pellets, insulators [30]</t>
  </si>
  <si>
    <t>Heavy metal content, variability, free–lime expansion [17]</t>
  </si>
  <si>
    <t>Contains high value SRMs (Cr or Ni or Mo or Ti) [11]</t>
  </si>
  <si>
    <t>Metallic reverts, Precipitated Calcium Carbonate (PCC), geopolymers, aggregates [17]</t>
  </si>
  <si>
    <t>Ni, Ti metal [15]</t>
  </si>
  <si>
    <t>Solid state: granular or rocky aggregate [18]</t>
  </si>
  <si>
    <t>High basicity and dusting,instability of volume [46]</t>
  </si>
  <si>
    <t>Supplementary Cementitious Material (SCM) or geopolymer usage suitable for lowering the cement cost [17, 38]</t>
  </si>
  <si>
    <t>Quicklime subsitute, soil stabilisation, Supplementary Cementitious Material (SCM) or geopolymers [4, 17]</t>
  </si>
  <si>
    <t>Al (bauxite) [4]</t>
  </si>
  <si>
    <t>Mg metal [4]</t>
  </si>
  <si>
    <t>Variable V content, dust handling issues [35]</t>
  </si>
  <si>
    <t>V recovery which is a high economic value, especially for battery applications [35]</t>
  </si>
  <si>
    <t>V compounds (V2O5, APV), Fe production [35]</t>
  </si>
  <si>
    <t>Hindrance in grinding due to glassy nature, environmental classification [33]</t>
  </si>
  <si>
    <t>86% environmental impact reduction in comparison to primary mining [31]</t>
  </si>
  <si>
    <t>SCM, inorganic polymer binders, aggregates, blasting media, metal recovery of Cu, Fe, Au, Ag, PGMs [33, 54]</t>
  </si>
  <si>
    <t>P, traces of REEs – LREEs and HREEs [49]</t>
  </si>
  <si>
    <t>Ni (battery grade), Co, Cu [49]</t>
  </si>
  <si>
    <t>FeO (48%)
SiO2 (24.20%)
ZnO (4.73%)
CaO (2.54%)
Al2O3 (7.61%) [33]</t>
  </si>
  <si>
    <t>High volatility of As or Pb or Cd, hazardous [49]</t>
  </si>
  <si>
    <t>Recovery of valuable volatile metals (As or Sb or Bi or Zn) [31]</t>
  </si>
  <si>
    <t>ZnO, Cu electrowinning, sponge Cd, concentrates of Zn and Pb or As or Sb [49]</t>
  </si>
  <si>
    <t>Traces of PGMs, REEs for magnets [30]</t>
  </si>
  <si>
    <t>Very large volumes generated, mineralogical variability [23, 27]</t>
  </si>
  <si>
    <t>Through reprocessing, large secondary resources are generated [10, 27]</t>
  </si>
  <si>
    <t>V, Sc, Ta, Nb, REEs – LREEs and HREEs (La, Y, Eu, Ho, Er, Tm, Yb, Lu) [49]</t>
  </si>
  <si>
    <t>Ni (battery grade), Co, Cu, REEs for magnets (Nd, Pr, Dy, Tb, Gd, Sm, Ce) [49]</t>
  </si>
  <si>
    <t>Complex matrix, requires multi–stage processing [31]</t>
  </si>
  <si>
    <t>High value extraction of Au–Ag–Cu [31]</t>
  </si>
  <si>
    <t>Zn compounds, recovery of Cu, Au, Ag [31]</t>
  </si>
  <si>
    <t>Solid state: granular slag or ash [31]</t>
  </si>
  <si>
    <t>Complex multi–stage refining processes, hazardous Se or Te compounds presence [12, 6]</t>
  </si>
  <si>
    <t>Extremely rich in noble metals leading to major economic driver [12, 6]</t>
  </si>
  <si>
    <t>Refined Au, Ag, Se, Te, PGMs' concentrates [12, 6]</t>
  </si>
  <si>
    <t>As, PGMs [12]</t>
  </si>
  <si>
    <t>PGMs (Pt, Pd, Rh, Ru, Ir), Cu [12]</t>
  </si>
  <si>
    <t>Naumannite (Ag2​Se)
Hessite (Ag2​Te)
Eucairite (CuAgSe)
Petzite (Ag3​AuSe2​)
PbSO4​ [12]</t>
  </si>
  <si>
    <t>Hazardous presence of Pb or Cd or Cr, low–metal grade [49]</t>
  </si>
  <si>
    <t>Value addition through hematite or magnetite production [49]</t>
  </si>
  <si>
    <t>Zn, Pb Ag recovery, pigment magnetite [49]</t>
  </si>
  <si>
    <t>As, Sc, V, Sb [61]</t>
  </si>
  <si>
    <t>Ni (battery grade) [61]</t>
  </si>
  <si>
    <t>Halide contamination, purity control [44, 30]</t>
  </si>
  <si>
    <t>Market–ready ZnO product with high purity [44]</t>
  </si>
  <si>
    <t>High–purity ZnO, Pb concentrates [30, 44]</t>
  </si>
  <si>
    <t>Zn (highly enriched)
Pb, Cd
Halides (Cl, F) [44]</t>
  </si>
  <si>
    <t>Heave metal leachability, requires stabilisation [44]</t>
  </si>
  <si>
    <t>Economic driver due to Mn and Fe recovery [44]</t>
  </si>
  <si>
    <t>Pig iron, Zn dust, secondary aggregates [44]</t>
  </si>
  <si>
    <t>V, Mn (battery grade) [44]</t>
  </si>
  <si>
    <t>Mn (battery grade) [44]</t>
  </si>
  <si>
    <t>Fe (46.35%)
Ca (14.34%)
C (8.09%)
Mn (7.70%)
Si (5.98%)
Zn (3.64%) [44]</t>
  </si>
  <si>
    <t>Fe, Ca, C, Mn, Si, Zn, Mg, Al, S, As, Cd, Cr, Cu, Mo, Ni, Pb, V [44]</t>
  </si>
  <si>
    <t>Solid state: granular or stony clinker [44]</t>
  </si>
  <si>
    <t>~800,000 tons/year in Europe [44]</t>
  </si>
  <si>
    <t>High alkalinity, large stockpiles, variable composition [45, 7]</t>
  </si>
  <si>
    <t>Major economic opportunity represented by REEs, Sc, Ti [34, 7, 22]</t>
  </si>
  <si>
    <t>Pig iron, alumina, TiO2, Sc or REE concentrates, SCM, bricks or tiles, pigments, x–ray shielding tiles [45, 32]</t>
  </si>
  <si>
    <t>Sc, Al, V, Ta, REEs – LREEs and HREEs (La, Ce, Nd) [45, 7]</t>
  </si>
  <si>
    <t>Ti metal, REES for magnets (Nd, Dy, Pr, Ce, Tb, Gd, Sm) [45]</t>
  </si>
  <si>
    <t>Sc value dominates the economies [49, 22]</t>
  </si>
  <si>
    <t>Sc oxide, ferronickel alloy, geopolymer binders, road base, tiles [22, 49]</t>
  </si>
  <si>
    <t>Ni (battery grade), Co [49]</t>
  </si>
  <si>
    <t>Cr (III) or Cr (VI) stability, spinel bound Cr [49]</t>
  </si>
  <si>
    <t>Cr (VI) management cost with Cr recovery value [49]</t>
  </si>
  <si>
    <t>Ferrochromite alloy, alkali chromates, aggregates, cementitious filler [49]</t>
  </si>
  <si>
    <t>Variable mineralogy, Leaching of Mn [58]</t>
  </si>
  <si>
    <t>Mn recovery for battery–grade chemicals [58]</t>
  </si>
  <si>
    <t>Electrolytic Mn metal, MnSO4, MnCO3, SCM [58]</t>
  </si>
  <si>
    <t>Mn (battery grade) [58]</t>
  </si>
  <si>
    <t>Silica phase variability, entrained metals [17]</t>
  </si>
  <si>
    <t>Limited economic incentives unless viable Si extraction [17]</t>
  </si>
  <si>
    <t>Silicates raw material, aggregates, amorphous Si [17]</t>
  </si>
  <si>
    <t>Si metal [17]</t>
  </si>
  <si>
    <t>Refractory phases, low grades [49]</t>
  </si>
  <si>
    <t>Geopolymers, SCM, clinker feed [49]</t>
  </si>
  <si>
    <t>Low W content, phase stability limits the extraction process [58]</t>
  </si>
  <si>
    <t>W concentrates, chemical precursors, aggregates [58]</t>
  </si>
  <si>
    <t>Low Mo grades, issues regarding economic feasibility [49]</t>
  </si>
  <si>
    <t>Cement fillers, refractory ceramics, aggregates [49]</t>
  </si>
  <si>
    <t>Variability in oxidation state, controlled leaching required [11]</t>
  </si>
  <si>
    <t>FeMO, Mo powders, ammonium molybdates [11]</t>
  </si>
  <si>
    <t>Cr (VI) toxicity hence requires reduction to Cr (III) [15]</t>
  </si>
  <si>
    <t>Cr concentrates, ferrochromate alloy, alkali chromates, detoxificated aggregates [49, 15]</t>
  </si>
  <si>
    <t>Fe or Mn impurities, acid consumption [60]</t>
  </si>
  <si>
    <t>Fe / Mn imppurities, acid consumption [60]</t>
  </si>
  <si>
    <t>Mn concentrates, soil remediation minerals [10, 60]</t>
  </si>
  <si>
    <t>High acidity, ammonia content presence [58]</t>
  </si>
  <si>
    <t>Mn2O3, MnSO4 for batteries, fertilizers [58]</t>
  </si>
  <si>
    <t>Complex mineralogy, fine particles [12]</t>
  </si>
  <si>
    <t>Purified Sn, mullite ceramics, Nb or Ta concentrates [12, 49]</t>
  </si>
  <si>
    <t>Variable metal content, dependant on flux [12]</t>
  </si>
  <si>
    <t>Zn or Mn or Fe recovery, Ta or Nb oxides, Ag refining [12]</t>
  </si>
  <si>
    <t>Heterogenous mix, binders inhibit leaching [49]</t>
  </si>
  <si>
    <t>Heterogenous mix, binders inhibit leaching [21, 49]</t>
  </si>
  <si>
    <t>High–purity Li, Co, Ni salts, battery precursor materials [49]</t>
  </si>
  <si>
    <t>Li (battery grade), Co, Ni, Mn (battery grade) [49]</t>
  </si>
  <si>
    <t>Li, Co, Ni (battery grade), Mn (battery grade), Natural graphite [49]</t>
  </si>
  <si>
    <t>Li, Co, Ni, Mn, C, Al, Fe, P, O, Ti, F [49]</t>
  </si>
  <si>
    <t>Electrolyte or polymer contamination [49]</t>
  </si>
  <si>
    <t>Electrolyte / polymer contamination [21, 49]</t>
  </si>
  <si>
    <t>C anode materials, NaF recovery, SiC [49]</t>
  </si>
  <si>
    <t>Li (battery grade), Mn (battery grade) [49]</t>
  </si>
  <si>
    <t>Li, Co, Ni (battery grade), Mn (battery grade) [49]</t>
  </si>
  <si>
    <t>High organics present, multi–stage pretreatment required [49, 24]</t>
  </si>
  <si>
    <t>High organics present, multi–stage pretreatment required [21, 49]</t>
  </si>
  <si>
    <t>Refined Au, Ag, Pd, secondary Cu or AL alloys [24, 49]</t>
  </si>
  <si>
    <t>Ta, Be, PGMs (Pd) [49]</t>
  </si>
  <si>
    <t>Cu, PGMs (Pt, Pd) [24]</t>
  </si>
  <si>
    <t>Halogens or organics contamination [49, 24]</t>
  </si>
  <si>
    <t>Halogens / organics contamination [21, 49]</t>
  </si>
  <si>
    <t>Cu or PGM recovery, construction material [5]</t>
  </si>
  <si>
    <t>Cu, PGMs [5]</t>
  </si>
  <si>
    <t>Fe, Si, Al, Cu, O, Au, Ag, Pd [49]</t>
  </si>
  <si>
    <t>Complex multi–metal phases [12]</t>
  </si>
  <si>
    <t>Complex multi–metal phases [12, 49]</t>
  </si>
  <si>
    <t>Electro–AU, refined Ag, SE or Te products [12]</t>
  </si>
  <si>
    <t>PGMs, Cu [12]</t>
  </si>
  <si>
    <t>Volatile toxic metals, stabilization required [53]</t>
  </si>
  <si>
    <t>ZnSO4, ZnO, sponge Cd, Pb residues [49]</t>
  </si>
  <si>
    <t>Radionuclides (U or Th), impurities presence [61]</t>
  </si>
  <si>
    <t>Radionuclides (U / Th), impurities presence [61]</t>
  </si>
  <si>
    <t>Cement or wallboard, bricks, soil amendments, REE extraction [61, 49]</t>
  </si>
  <si>
    <t>REEs for magnets (Nd, Dy, Pr, Ce etc.) [61]</t>
  </si>
  <si>
    <t>Metals, organics, acidic in nature [61]</t>
  </si>
  <si>
    <t>Geopolymers, cement, adsorbents, U or REE recovery [61]</t>
  </si>
  <si>
    <t>P2O5
Al
Fe
Mg
Si [23]</t>
  </si>
  <si>
    <t>Radioactivity, mineralogical heterogeneity [7]</t>
  </si>
  <si>
    <t>Radioactivity, mineralogical heterogeneity [49]</t>
  </si>
  <si>
    <t>REE concentrates, geopolymer ceramics, Ni or Fe products [42, 7]</t>
  </si>
  <si>
    <t>Sc, REEs – LREEs and HREEs (La, Y) [49]</t>
  </si>
  <si>
    <t>REEs for magnets (Nd, Pr, Ce) [7]</t>
  </si>
  <si>
    <t>Nd (0.3%)
Pr (0.13%)
Y, La, Ce [49, 27]</t>
  </si>
  <si>
    <t>Monazite ([Ce,La,Nd,Th]PO4​)
Xenotime (YPO4​)
Rhabdophane [7]</t>
  </si>
  <si>
    <t>High moisture content, variable REE present [49]</t>
  </si>
  <si>
    <t>Ni or Cr pigments, magnetite [49]</t>
  </si>
  <si>
    <t>Co, Ni (battery grade) [49]</t>
  </si>
  <si>
    <t>Sulfate or chloride load, Th or U traces [49]</t>
  </si>
  <si>
    <t>Sulfate / chloride load, Th / U traces [49]</t>
  </si>
  <si>
    <t>Ti or Mg or Al enriched catalysts, pigments [49]</t>
  </si>
  <si>
    <t>Spinel solid solution (Mg[Fe,Al]2​O4​)
Periclase (MgO)
Rutile (TiO2​) [13]</t>
  </si>
  <si>
    <t>Radioactivity, complex separation chemistry [49]</t>
  </si>
  <si>
    <t>Refined REE oxides, construction fillers [49]</t>
  </si>
  <si>
    <t>Sc, REEs – LREEs and HREEs [58]</t>
  </si>
  <si>
    <t>REEs for magnets [58]</t>
  </si>
  <si>
    <t>Cyanide toxicity, AMD risk [52]</t>
  </si>
  <si>
    <t>Cyanide toxicity, AMD risk [52, 60]</t>
  </si>
  <si>
    <t>OPC clinker, geopolymer pavers, residual Au or Ag or Cu recovery [52]</t>
  </si>
  <si>
    <t>Sb, traces of As [52]</t>
  </si>
  <si>
    <t>High presence of As, requires stabilisation [52]</t>
  </si>
  <si>
    <t>High presence of As, requires stabilisation [52, 21]</t>
  </si>
  <si>
    <t>High–purity Au, PGM recovery, FE and S products [52]</t>
  </si>
  <si>
    <t>Low– grade PGM with complex matrix [5, 21]</t>
  </si>
  <si>
    <t>Low– grade PGM with complex matrix [5]</t>
  </si>
  <si>
    <t>Refined Pd or Pt or Rh concentrates, aggregates [5]</t>
  </si>
  <si>
    <t>PGMs, Mg metal [5]</t>
  </si>
  <si>
    <t>Complex metal matrix, complexity is further added due to Se recovery [12, 6]</t>
  </si>
  <si>
    <t>Complex metal matrix, complexicity is further added due to Se recovery [12, 6]</t>
  </si>
  <si>
    <t>Electro–Au, refined Ag powder, PGM concentrates [12, 6]</t>
  </si>
  <si>
    <t>Ag (up to 12.8 wt%)
Au
Pt
Pd
Pb
Sb
As
Cu [12]</t>
  </si>
  <si>
    <t>Wet solid or slime state: concentrated residue from electrolytic residue [12]</t>
  </si>
  <si>
    <t>Impurities (Cl or F or heavy metals) affect reuse quality [53]</t>
  </si>
  <si>
    <t>Impurites (Cl / F / heavy metals) affect reuse quality [53]</t>
  </si>
  <si>
    <t>Wallboard, cement clinker, backfill material [21, 53]</t>
  </si>
  <si>
    <t>V or Ni or As contamination, deactivation mechanisms [50, 49]</t>
  </si>
  <si>
    <t>V / Ni / As contamination, deactivation mechanisms [50, 5]</t>
  </si>
  <si>
    <t>Refined Pd or Pt or Rh, regenerated catalysts [50, 5]</t>
  </si>
  <si>
    <t>V, W, Ni (battery grade), PGMs [50]</t>
  </si>
  <si>
    <t>PGMs, Ni (battery grade), Co, Ti metal [50]</t>
  </si>
  <si>
    <t>TiO2 (79.0–85%)
SiO2 (6.65%)
P2O5 (3.6%)
CaO (2.65%)
Al2O3 (1.9%) [50]</t>
  </si>
  <si>
    <t>Acid–consuming gangue [ geochemical instability [49]</t>
  </si>
  <si>
    <t>Wet or air granulation to form glassy slag, produces latent hydraulic reactivity [46]
Mechanical activation (i.e., grinding) to produce Supplementary Cementitious Material (SCM)  [38, 46]
Accelerated carbonation with carbon dioxide sequestration leading to stabilisation of reactive Ca phases [38]
Thermal treatment for inducing crystallisation process for glass ceramics applications [46]
Crushing and screening for aggregate production [46]</t>
  </si>
  <si>
    <t>Weathering (aging) for reduction of volume expansion and stabilisation of free lime [17]
Metal recovery of iron (mainly) through magnetic separation [46]
Accelerated carbonation for immobilisation of Cr and V to improve durability [38, 17]
Crushing and grading for construction materials use [46]
Hot–stage modification during tapping to adjust basicity and add flux to control chemical composition [17]</t>
  </si>
  <si>
    <t>Dewatering and pelletisation to improve handling and furnace recyclability [11]
Hydrometallurgical processes for removal of impurities like Zn and Pb prior to Fe recovery [8, 11]
Pyrometallurgical reduction process through Waelz or rotary kiln for volatilisation of Zn and upgradation of Fe fraction [44]
Magnetic separation for producing Fe–rich concentration, suitable for reuse [11]</t>
  </si>
  <si>
    <t>Thermal de–oiling to remove hydrocarbons and make the oxide suitable for further processing [11]
Reduction roasting to convert Fe oxides into more recoverable metallic phases [11]
Magnetic upgrading to separate high–grade Fe oxide fractions from gangue [11]</t>
  </si>
  <si>
    <t>Magnetic separation to recover entrained metallic phases [15, 17]
Carbonation to avoid Cr (VI) formation [17, 38]
Mechanical activation (Grinding) to enhance cementitious applications [38, 46]
Hot–stage foaming or slag formation for controlling FeO content [15]</t>
  </si>
  <si>
    <t>Waelz kiln volatilisation process to produce ZnO fume [44]
Hydrometallurgical leaching through acid or alkali [8, 11]
Chloride removal or dechlorination [8]
Agglomeration and reduction for Fe recovery [11]</t>
  </si>
  <si>
    <t>Metal recovery of Cr or Ni or Mo through magnetic or density separation [18]
Free–lime stabilisation via aging process [18]
Carbonation for immobilisation of heavy–metals [38]
Thermal or chemical activation for Supplementary Cementitious Material (SCM) use [46, 18]</t>
  </si>
  <si>
    <t>Aging to complete y–C2S (gamma–dicalcium silicate) transformation for preventing dust and stabilising expansion [18]
Crushing and sieving for soil–stabilisation feedstock used in cementitious applications [46]
Mechanical activation (i.e., milling) of Supplementary Cementitious Material (SCM) or geopolymer to increase reactivity by fine grinding [38, 46]</t>
  </si>
  <si>
    <t>Oxidation roasting (Na2CO3 or CaO) to convert V–bearing phases into soluble vandates for efficient extraction [35]
Selective leaching to dissolve V species and separate recoverable V5+ from the Fe–rich residue [35]
Dust recirculation in BOF or EAF units to recover Fe and reduce waste generation [35]
Magnetic separation to isolate Fe–rich material from V–enriched oxides before or after roasting [35]
Secondary smelting to concentrate V in the slag phase while producing recyclable metallic Fe [35]
Stabilisation of fine V bearing particulates during off–gas dust cleaning to ensure safe handling [35]</t>
  </si>
  <si>
    <t>Flotation of entrapped matte phase to recover Cu– and Fe–rich mineral fractions [33]
Reduction smelter slag to separate metallic Fe and Cu droplets from Si matrix [31]
High temperature fuming to volatilise Zn and Pb for off–gas recovery [33]
Mechanical activation like fine grinding to enhance latent hydraulic reactivity for binder use [54]</t>
  </si>
  <si>
    <t>Hydrometallurgical leaching like acid or alkali, to dissolve Zn and Pb or As or Sb selectivity from oxide mixture [31, 21]
Volatilisation in fuming furnaces to separate volatile metals from residue [21]
Stabilisation or Solidification to immobilise hazardous elements for safe handling [21]</t>
  </si>
  <si>
    <t>Stepwise hydrometallurgical leaching to dissolve Cu, Cd, Zn and traceable precious metals [31]
Slag reduction (Fe and Cu alloy formation) to liberate metal entrapped in silicate phases [33]
Purification of Zn–bearing streams for secondary metal recovery [33]</t>
  </si>
  <si>
    <t>Oxidative roasting to break down refractory selenides or tellurides prior to leaching [12]
Sequential leaching to selectively recover Ag, Se, Te, Au, and PGMs [6]
Electrorefining to obtain high–purity Au or Ag and remaining Cu [12]</t>
  </si>
  <si>
    <t>Acidic or alkaline leaching to dissolve Zn and Pb or Ag retained in jarosite or goethite matrix [11]
Thermal conversion to hematite or magnetite to reduce hazardous leachability and improve stability [11]
Stabilisation of toxic elements through phase transformation [8]</t>
  </si>
  <si>
    <t>Hydrometallurgical purification to. Produce market grade ZnO from Zn–ferrite dust condensates [44]
Volatilisation separation during Waelz kiln processing to isolate Zn and Pb oxide phases [44]</t>
  </si>
  <si>
    <t>Oxidation roasting to convert unstable sulfide or oxide phases into stable anhydrite or matrix phases [44]
Carbothermic reduction for Fe or Mn recovery from slag matrix [44]
Stabilisation for secondary construction aggregate after detoxification [30]</t>
  </si>
  <si>
    <t>High–temperature reduction (roasting) for converting Fe and Ti bearing minerals into recoverable phases [34]
Hydrometallurgical leaching for selective extraction of Fe, Al, Ti, Sc and REEs [45, 28]
Magnetic separation to recover magnetite formed during reduction processes [28]
Accelerated carbonation to reduce alkalinity and stabilises reactive species [34]
Geopolymerisation to transform silicate or aluminate phases into cementitious binders [45]</t>
  </si>
  <si>
    <t>Re–flotation to recover residual MoS2 from fine tailings [23]
Hydrometallurgical leaching to dissolve molybdate species [27, 42]</t>
  </si>
  <si>
    <t>Controlled oxidative roasting to convert MoS2 to MoO3 [21]
Leaching to produce ammonium molybdate or Mo–bearing solutions [49]</t>
  </si>
  <si>
    <t>Acid leaching to dissolve Mn oxides or carbonates [23]
High–gradient magnetic separation to isolate Mn–rich phases [27, 43]</t>
  </si>
  <si>
    <t>Flux–assisted reduction to recover Sn and associated metals [21]
Carbothermic reduction to extract valuable oxides or minerals [21]</t>
  </si>
  <si>
    <t>Acid leaching to extract Li, Co, Ni, Mn into solutions [21]
Pyrometallurgical smelting to obtain alloy intermediate [49]
Direct regeneration (re–lithiation) to restore cathode materials [25]</t>
  </si>
  <si>
    <t>Re–smelting to improve metal separation [21]
Selective leaching to dissolve valuable metals [21]</t>
  </si>
  <si>
    <t>Acid or alkali roasting to enhance REE solubility [49]
REE leaching from activated minerals [7]
Minerals beneficiation to isolate heavy or light REEs [49]</t>
  </si>
  <si>
    <t>Acid leaching to extract Ti or Mg or Al [49]
Thermal roasting to liberate REE–bearing phases [37]</t>
  </si>
  <si>
    <t>Smelting (wetting or settling technique) for PGM or Ni or V metal recovery [5]
hydrometallurgical leaching of V, Ni, PGMs for selective separation [50]
Catalyst regeneration by removing poisons and re–activating supports [50]</t>
  </si>
  <si>
    <t>Excel S. No.</t>
  </si>
  <si>
    <t>Word mapping</t>
  </si>
  <si>
    <t>V [11]</t>
  </si>
  <si>
    <t>V [35]</t>
  </si>
  <si>
    <t>As [30]</t>
  </si>
  <si>
    <t>V [15]</t>
  </si>
  <si>
    <t xml:space="preserve">V [53] </t>
  </si>
  <si>
    <t>Bricks or tiles, geopolymer blocks, fine aggregates, low–C cement, nano–Cu biosynthesis [23, 42, 10]</t>
  </si>
  <si>
    <t>As [31]</t>
  </si>
  <si>
    <t>Cu [31]</t>
  </si>
  <si>
    <t>Sc, V [22]</t>
  </si>
  <si>
    <t>Sn [58]</t>
  </si>
  <si>
    <t>V, W [49]</t>
  </si>
  <si>
    <t>Nb, Ta [49]</t>
  </si>
  <si>
    <t>Sn [49]</t>
  </si>
  <si>
    <t>As, Sb [6]</t>
  </si>
  <si>
    <t>PGMs [49]</t>
  </si>
  <si>
    <t>Sc, P [17]</t>
  </si>
  <si>
    <t>P [49]</t>
  </si>
  <si>
    <t>V, Nb [49]</t>
  </si>
  <si>
    <t>Cu [52]</t>
  </si>
  <si>
    <t>As [5]</t>
  </si>
  <si>
    <t>PGMs [5]</t>
  </si>
  <si>
    <t>As, Sb [12]</t>
  </si>
  <si>
    <t>PGMs [12]</t>
  </si>
  <si>
    <t>Byproduct Stream</t>
  </si>
  <si>
    <t>Recovery of Fe salts and hazardous waste disposal leads to cost savings [11]</t>
  </si>
  <si>
    <t>Ironmaking – blast furnace (BF) [1, 11, 4]</t>
  </si>
  <si>
    <t>Steelmaking through Basic Oxygen Furnace (BOF) or Linz–Donawitz (LD) processes [4, 19, 46]</t>
  </si>
  <si>
    <t>High basicity, free lime expansion potential, potential leaching of Cr or V [19, 17]</t>
  </si>
  <si>
    <t>Zn, Pb or oil contamination present, high moisture content, fine particle size distribution [11]</t>
  </si>
  <si>
    <t>SiO2​ (46.67–53.5%)
Al2​O3​ (16.7–21.1%)
Fe2​O3​ (10–15.5%)
CaO (9.5–29.3%) [42]</t>
  </si>
  <si>
    <t>SiO2​ (32.1–73.0%)
Al2​O3​ (3.9–13.50%)
Fe2​O3​ (2.3–27.4%)
CaO (3.5–19.0%) [42]</t>
  </si>
  <si>
    <t>Li (2–5%)
Co (5–20%)
Ni (5–20%)
Mn (5–15%)
C–graphite (20–30%) [49]</t>
  </si>
  <si>
    <t>Fe, Si, Mn, Co, Cr [51]</t>
  </si>
  <si>
    <t>Fe, Cr, Ni, Ca, F [11]</t>
  </si>
  <si>
    <t>Ca, Fe, Si, Mg, Mn, Al, S, P, Cr, V, Ni, Cu, Pb, Zn [15]</t>
  </si>
  <si>
    <t>Zn, Fe, Pb, Cd, Cl, Na, Mn, Al, Cr, K [30]</t>
  </si>
  <si>
    <t>Cr, Ca, Si, Mg, Ni, Mo, Ti, V, Mn, Fe, Al, F [17]</t>
  </si>
  <si>
    <t>Fe, Si, Al, Zn, Ca, Cr, Cu, Pb [33]</t>
  </si>
  <si>
    <t>Si, Fe, Al, Ca, Mg, S, Ti, Cu, Mn [42]</t>
  </si>
  <si>
    <t>Cu, Zn, Cd, Si, Cd, O, Fe, Au, Ag, Se, Te [31]</t>
  </si>
  <si>
    <t>Zn, Pb, Cd, Cl, F, Na, K, As [44, 30]</t>
  </si>
  <si>
    <t>Si, Fe, Al, Mg, Ca, Cr, Ti, Mn [49]</t>
  </si>
  <si>
    <t>Si, Ca, Fe, Al, Mg, Mn [17]</t>
  </si>
  <si>
    <t>Mo, Fe, V, Mg, Ni, Al, S, Co, O [49]</t>
  </si>
  <si>
    <t>Sn, Si, Al, Fe, Nb, Ta, S [49]</t>
  </si>
  <si>
    <t>Mn, Si, Al, Fe, REEs [58]</t>
  </si>
  <si>
    <t>Pb, Sb, As, Ni, Li, C [49]</t>
  </si>
  <si>
    <t>Cu, Se, Sn, Pb, Au, Ag, Pd, Pt, Sb, As [12]</t>
  </si>
  <si>
    <t>P, Al, Fe, Mg, Si, O, REEs [49]</t>
  </si>
  <si>
    <t>Mg, Fe, Al, O, Ti, V, Cr, Ca, Mn, Na, Si, K [13]</t>
  </si>
  <si>
    <t>Fe, Si, Al, Au, C, N, Pb, As, Cr, Ni, Zn, Hg, S, P, Cu [52]</t>
  </si>
  <si>
    <t>Fe, Au,Ca, As, O, S [52]</t>
  </si>
  <si>
    <t>Al, Si, Mg, Ca, O, Pt, Pd, Rh, Zr, Ce, Fe, Ti, Cr, P, S, Na, Ba [5]</t>
  </si>
  <si>
    <t>Ag, Au, Pt, Pd, Pb, Sb, As, Cu, Zn, Si, O, S, Sn, Bi, Se, Te [12]</t>
  </si>
  <si>
    <t>Ta, Nb, Si, S, Al, Fe, Sn [49]</t>
  </si>
  <si>
    <t>Solid state: molten liquid during production stage forming granular or vitrified solid after air or water cooling [4]</t>
  </si>
  <si>
    <t>Solid state: stony, granular or rocky aggregate [17]</t>
  </si>
  <si>
    <t>Wet solid or filter cake: slurry prior to dewatering [11]</t>
  </si>
  <si>
    <t>Solid state: flaky particles or oiled scale [46]</t>
  </si>
  <si>
    <t>Wet solid or sludge: precipitated filter cake [11]</t>
  </si>
  <si>
    <t>Solid state: stony or granular aggregate [15]</t>
  </si>
  <si>
    <t>Solid state: fine powder, often characterized by spherical particles [1]</t>
  </si>
  <si>
    <t>Solid state: typically fine powder or fine granular due to dusting phase [4]</t>
  </si>
  <si>
    <t>Solid state: granular slag or fine flue dust powder [35]</t>
  </si>
  <si>
    <t>Solid state: granular, stony or vitrified or glassy [33]</t>
  </si>
  <si>
    <t>Solid state: ultra–fine powder collected from Electrostatic Precipitators [30]</t>
  </si>
  <si>
    <t>Slurry state: fine suspended materials (1–600 μm) in water, dry stack if filtered [23]</t>
  </si>
  <si>
    <t>Wet solid or slime state: concentrated residue from electrolytic refining [12]</t>
  </si>
  <si>
    <t>Solid state: crude ZnO fine powder or dust [30]</t>
  </si>
  <si>
    <t>Wet solid or sludge state: precipitated residue, often presented as filter cake [53]</t>
  </si>
  <si>
    <t>Wet solid or sludge state: highly alkaline mud or slurry, dry stacked when thickened [45]</t>
  </si>
  <si>
    <t>Solid or slurry state: fine–grained oxyhydroxide residue [49]</t>
  </si>
  <si>
    <t>Solid state: stony or granular aggregate [49]</t>
  </si>
  <si>
    <t>Solid state: granular or stony aggregate [58]</t>
  </si>
  <si>
    <t>Solid state: granular or rocky aggregate [17]</t>
  </si>
  <si>
    <t>Solid state: fine particulate material or slurry [49]</t>
  </si>
  <si>
    <t>Solid state: granular or vitrified solid, not ceramic monolith [58]</t>
  </si>
  <si>
    <t>Solid state: particulate powder resulting from sulfide roasting process [11]</t>
  </si>
  <si>
    <t>Solid state: typically granular or fine particulate [15]</t>
  </si>
  <si>
    <t>Solid state: fine particulate material or slurry [60]</t>
  </si>
  <si>
    <t>Wet solid or sludge state: precipitated (acidic) filter cake [58]</t>
  </si>
  <si>
    <t>Solid state: stony or granular aggregate [12]</t>
  </si>
  <si>
    <t>Solid state: fine powder generated from mechanical shredding of residues [49]</t>
  </si>
  <si>
    <t>Wet solid or sludge state: refined battery or electrode processing residues [49]</t>
  </si>
  <si>
    <t>Solid state: particulate fines or shredded board fragments [24]</t>
  </si>
  <si>
    <t>Solid state: granular, stony, or vitrified or glassy slag [49]</t>
  </si>
  <si>
    <t>Wet solid or slime state: concentrated precious metal residue [12]</t>
  </si>
  <si>
    <t>Solid state: ultra–fine powder or baghouse dust particles [49]</t>
  </si>
  <si>
    <t>Solid state: fine crystalline particulate [61]</t>
  </si>
  <si>
    <t>Wet solid or sludge state: settled phosphoric acid process residue [61]</t>
  </si>
  <si>
    <t>Solid state: fine particulate or mineralized ore fragments [7]</t>
  </si>
  <si>
    <t>Wet solid or sludge state: precipitated metal hydroxides [49]</t>
  </si>
  <si>
    <t>Solid state: insoluble particulate residue after acid treatment [58]</t>
  </si>
  <si>
    <t>Solid state: fine dry particulate or aqueous slurry from leaching process [52]</t>
  </si>
  <si>
    <t>Solid state: fine particulate powder from refractory ore treatment [52]</t>
  </si>
  <si>
    <t>Solid state: typically vitrified or glass slag containing trapped metals [5]</t>
  </si>
  <si>
    <t>Solid state: crystalline particulate from smelter gas treatment [53]</t>
  </si>
  <si>
    <t>Solid state: fine powder or honeycomb ceramic monoliths [50]</t>
  </si>
  <si>
    <t>Negligible: stony or rocky solid aggregates [17]</t>
  </si>
  <si>
    <t>Negligible: solid oxide matrix after air or water cooling [4]</t>
  </si>
  <si>
    <t>High: wet gas–cleaning product handled as wet slurry or filter cake) [11]</t>
  </si>
  <si>
    <t>Low: flaky solid particles often containing surface oil [15]</t>
  </si>
  <si>
    <t>Significant: neutralized precipitates handled as wet filter cake [11]</t>
  </si>
  <si>
    <t>Negligible: stony solid aggregates [15]</t>
  </si>
  <si>
    <t>Low: fine dry powder collected in baghouses or ESP filters [30]</t>
  </si>
  <si>
    <t>Low: solid granular aggregate [17]</t>
  </si>
  <si>
    <t>Low: solid powder or granular material exhibiting dust behavior [4]</t>
  </si>
  <si>
    <t>Low: managed as solid slag or fine flue dust [35]</t>
  </si>
  <si>
    <t>Low: vitrified or glassy solid [33]</t>
  </si>
  <si>
    <t>Low: ultra–fine dry powder collected from ESP [30]</t>
  </si>
  <si>
    <t>40.0 – 60.0%: initial slurry state
7.0 – 9.0%: water absorption capacity [23]</t>
  </si>
  <si>
    <t>Low: standard solid metallurgical residue [31]</t>
  </si>
  <si>
    <t>High: wet slime from electrolytic refining required dewatering [12]</t>
  </si>
  <si>
    <t>High: precipitate handled as wet filter cake) [53]</t>
  </si>
  <si>
    <t>Low: fine dry crude ZnO powder [30]</t>
  </si>
  <si>
    <t>Low: solid clinker or stony residue [44]</t>
  </si>
  <si>
    <t>7.5 wt%: residual moisture present in filter–pressed cake
40.0–60.0%: slurry state [32]</t>
  </si>
  <si>
    <t>Negligible: refractory solid aggregates [49]</t>
  </si>
  <si>
    <t>Negligible: solid stony aggregates [58]</t>
  </si>
  <si>
    <t>Negligible: solid stony aggregates [17]</t>
  </si>
  <si>
    <t>40.0–60.0%: typically mining slurry moisture range [42]</t>
  </si>
  <si>
    <t>Negligible: vetrified solid slag [58]</t>
  </si>
  <si>
    <t>40.0–60.0%: typically mining slurry moisture range [49]</t>
  </si>
  <si>
    <t>Low: solid particulate remaining after oxidative roasting [11]</t>
  </si>
  <si>
    <t>Vary: solid waste found in industrial stockpile [15]</t>
  </si>
  <si>
    <t>40.0–60.0%: typically mining slurry moisture range [60]</t>
  </si>
  <si>
    <t>High: electrolytic residue handled as wet filter cake [58]</t>
  </si>
  <si>
    <t>Low: vitrified silicate solid [49]</t>
  </si>
  <si>
    <t>Low: mechanically shredded dry powder [49]</t>
  </si>
  <si>
    <t>High: refining residue handled as wet sludge [49]</t>
  </si>
  <si>
    <t>Low: shredded dry metallic particulate [24]</t>
  </si>
  <si>
    <t>Low: vitrified or stony metallurgical solid slag [5]</t>
  </si>
  <si>
    <t>High: precious metal residue handled as wet slime [12]</t>
  </si>
  <si>
    <t>Significant: handled as wet crystalline solid or stackable waste [61]</t>
  </si>
  <si>
    <t>High: processing residue typically handled as wet sludge [61]</t>
  </si>
  <si>
    <t>40.0–60.0%: typically mining slurry moisture range [7]</t>
  </si>
  <si>
    <t>High: effluent treatment product handled as wet filter cake [49]</t>
  </si>
  <si>
    <t>Low: Insoluble dry oxide residue i.e., Mg–Fe oxides [13]</t>
  </si>
  <si>
    <t>Low: insoluble dry particulate prior acid treatment [58]</t>
  </si>
  <si>
    <t>40.0–60.0%: typically gold mining slurry moisture range [52]</t>
  </si>
  <si>
    <t>Low: solid particulate powder prior to thermal treatment [52]</t>
  </si>
  <si>
    <t>Low: vitrified or ceramic–based solid slag [5]</t>
  </si>
  <si>
    <t>High: wet slime collected from electrolytic tanks [12]</t>
  </si>
  <si>
    <t>Low: crystalline dry particulate after industrial drying process [53]</t>
  </si>
  <si>
    <t>Low: dry honeycomb monoliths or mechanically shredded powders [50]</t>
  </si>
  <si>
    <t>10.0–11.0: highly alkaline [38]</t>
  </si>
  <si>
    <t>11.0–13.0: strongly alkaline with approximate average of 12.5 [38]</t>
  </si>
  <si>
    <t>10.0–12.0: highly alkaline, recorded at 11.7 approximately [38]</t>
  </si>
  <si>
    <t>Alkaline: high moisture containing 9.0–10.6% of CaO with high buffering capacity [1]</t>
  </si>
  <si>
    <t>Near–neutral to alkaline [19]</t>
  </si>
  <si>
    <t>12.0 approximately: natural pH in water wash [38]</t>
  </si>
  <si>
    <t>Highly basic: used for neutralising acidic wastewater [17]</t>
  </si>
  <si>
    <t>11.0–13.0: highly alkaline nature with an average of 12.5 approximately [38]</t>
  </si>
  <si>
    <t>11.0–13.0: slag matrix or acidic recovery context [35]</t>
  </si>
  <si>
    <t>Alkaline: stable fayalitic glass matrix [54]</t>
  </si>
  <si>
    <t>Alkaline: high Na and Ca oxide content [22]</t>
  </si>
  <si>
    <t>Alkaline: standard fayalite–type solid residues [31]</t>
  </si>
  <si>
    <t>Acidic: pH 1.75 is optimal for metal recovery) [12]</t>
  </si>
  <si>
    <t>Acidic: sulfate–rich process with precipitate [53]</t>
  </si>
  <si>
    <t>Alkaline: Crude ZnO–rich powder [30]</t>
  </si>
  <si>
    <t>5.60: pH of TCLP extract or leachate [44]</t>
  </si>
  <si>
    <t>Near neutral–alkaline: prior to industrial neutralization) [11]</t>
  </si>
  <si>
    <t>Alkaline: refractory oxide matrix [49]</t>
  </si>
  <si>
    <t>Alkaline: stepwise precipitate process at pH 2.5–5.65 [58]</t>
  </si>
  <si>
    <t>Alkaline: dominantdicalcium silicate phases [17]</t>
  </si>
  <si>
    <t>8.0–9.3: typically carbonate–dominated mines [42]</t>
  </si>
  <si>
    <t>Alkaline [58]</t>
  </si>
  <si>
    <t>Near neutral–slightly alkaline [42]</t>
  </si>
  <si>
    <t>Near–neutral: solid particulate after oxidative roasting [11]</t>
  </si>
  <si>
    <t>Extremely alkaline: with high Cr (VI) risk in leaching process) [17]</t>
  </si>
  <si>
    <t>Near neutral–alkaline [60]</t>
  </si>
  <si>
    <t>Acidic: generated from acidic precipitate sludge from Mn electrolysis [50]</t>
  </si>
  <si>
    <t>Near neutral–slightly alkaline: depends on geological host rock [49]</t>
  </si>
  <si>
    <t>Alkaline: silicate–glass matrix [12]</t>
  </si>
  <si>
    <t>Acidic: processed in H2SO4 or HCl for recovery) [49]</t>
  </si>
  <si>
    <t>Acidic–neutral: secondary refinery residues [49]</t>
  </si>
  <si>
    <t>Acidic: processed in aqua regia or H2SO4) [24]</t>
  </si>
  <si>
    <t>Alkaline: silicate–rich fayalithic slag [5]</t>
  </si>
  <si>
    <t>Acidic: leached in strong mineral acids) [12]</t>
  </si>
  <si>
    <t>12.0: aligned withsecondary Pb/Zn dusts [61]</t>
  </si>
  <si>
    <t>Acidic: contains residual P2O5 or H3PO4, leached at pH 1 [49]</t>
  </si>
  <si>
    <t>Highly acidic: byproduct of direct H3PO4 process) [49]</t>
  </si>
  <si>
    <t>Acidic: potentially as often found in acidic mine waters [7]</t>
  </si>
  <si>
    <t>7.0–9.5: product is pH adjusted [49]</t>
  </si>
  <si>
    <t>Near neutral–alkaline: insoluble Fe–Mg oxide residue) [13]</t>
  </si>
  <si>
    <t>Alkaline: resulted from concentrated NaOH digestion [58]</t>
  </si>
  <si>
    <t>10.0–11.0: requires high pH for stabilisation of cyanide) [52]</t>
  </si>
  <si>
    <t>Acidic: formed from pressure oxidation of refractory sulfides [52]</t>
  </si>
  <si>
    <t>Alkaline: vitrified silicates or ceramics–based slag [5]</t>
  </si>
  <si>
    <t>Acidic: sulfide gas treatment byproduct) [53]</t>
  </si>
  <si>
    <t>Acidic: processed in H2SO4 or HCl solutions) [50]</t>
  </si>
  <si>
    <t>Acidic: derived from sulfate or nitrate refining process [12]</t>
  </si>
  <si>
    <t>150–347 kg/t Hot Metal (HM) (avg. 249 kg/t) [19]</t>
  </si>
  <si>
    <t>BF: 2–22 kg/t Hot Metal (HM) (avg. 12 kg/t)
BOF: 15–16 kg/t Liquid Steel (LS) [19]</t>
  </si>
  <si>
    <t>2–8 kg/t Liquid Steel (LS) (avg. 5 kg/t) [19]</t>
  </si>
  <si>
    <t>Generated as minor byproduct [11]</t>
  </si>
  <si>
    <t>60–270 kg/t Liquid Steel (LS) (avg. 165 kg/t) [19]</t>
  </si>
  <si>
    <t>10–30 kg/t Liquid Steel (LS) (avg. 20 kg/t) [19]</t>
  </si>
  <si>
    <t>Estimated to be 15–17 Mt global annual amount production [17]</t>
  </si>
  <si>
    <t>10–80 kg/t Liquid Steel (LS) (avg. 45 kg/t) [19]</t>
  </si>
  <si>
    <t>~52 Mt total steelmaking byproduct according to 2019 EU production [19]</t>
  </si>
  <si>
    <t>Included in general &gt;8.5 Mt annual production [61]</t>
  </si>
  <si>
    <t>Represents 11.83% of integrated route byproducts [19]</t>
  </si>
  <si>
    <t>Part of 2–3 t of solid waste generated from refinning copper which includes slag, ash and slime [31]</t>
  </si>
  <si>
    <t>55,000 t/year globally  [12]</t>
  </si>
  <si>
    <t>Secondary industrial process waste from Zn/Fe leaching [17]</t>
  </si>
  <si>
    <t>250,000 t/year Zn [44]</t>
  </si>
  <si>
    <t>Included in secondary flow of &gt;8.5 Mt/year [61]</t>
  </si>
  <si>
    <t>1020.6 t/year (annual campaign cap – Pilot project) [25]</t>
  </si>
  <si>
    <t>Haveri site: 1.4 Mt
Hutura site; 13.5 Mt [18]</t>
  </si>
  <si>
    <t>37.9 kg of Ag/1000 kg of anode slime treated [31]</t>
  </si>
  <si>
    <t>&gt; 500,000 tonnes/year from total global SCR generation [50]</t>
  </si>
  <si>
    <t>1.0–1.6 tonnes / tonne of alumina production [34]
~5 Mt/year global aluminium dross [36]</t>
  </si>
  <si>
    <t>Ca, Si, Al, Mg, Fe, S, Mn, Ti, K, Na and trace of REEs (La, Ce, Nd, Pr, Y, Er,Dy) [58]</t>
  </si>
  <si>
    <t>Fe, C, Zn, Pb, Ca, Mg, Si, S, Na, K, Mn [11]</t>
  </si>
  <si>
    <t>Fluorite (CaF2) if neutralized
Metal hydroxide (Fe, Cr, Ni) [11]</t>
  </si>
  <si>
    <t>V, Fe, Ti, Mn, Cr, Al, Si, Mg [35]</t>
  </si>
  <si>
    <t>Fe (21.68%)
Cr (2.42%)
Ni (2.78%)
Primarily rich in salts and secondary metals [11]</t>
  </si>
  <si>
    <t>CaO (28–51%)
SiO2 (26–40%)
Al2O3 (6–20%)
MgO (4–11%)
Fe2O3 (&lt;2%) [4]</t>
  </si>
  <si>
    <t>Dicalcium silicate (C2S)
Tricalcium silicate (C3S)
Srebrodolskite (Ca2Fe2O5)
Merwinite (Ca3Mg(SiO4)2)
Wüstite (FeO) [4]</t>
  </si>
  <si>
    <t>Ca, Fe, Si, Mg, P, S, Mn, Al, Cr, K, V, Na [19]</t>
  </si>
  <si>
    <t>CaO (36.4–55%)
FeO or Fe2O3 (10–37%)
SiO2 (7–23%)
MgO (0.4–14%)
P2O5 (1–3.35%) [38]</t>
  </si>
  <si>
    <t>Fe (20–70%)
C (10–50%)
Zn (0.1–0.9%) [11]</t>
  </si>
  <si>
    <t>Hematite (Fe2O3)
Magnetite (Fe3O4)
​Wüstite (FeO)
​Graphite (C)
Quartz (SiO2) 
Cacite [1]</t>
  </si>
  <si>
    <t>Wüstite (FeO)
Hematite (Fe2​O3​)
Magnetite (Fe3​O4​)
Silica (SiO2​)
Magnesioferrite (MgFe2​O4​) [46]</t>
  </si>
  <si>
    <t>Total Fe (70–95%)
SiO2 (generally &lt;10%)
FeO (wüstite) primary phase [46]</t>
  </si>
  <si>
    <t>Larnite (Ca2​SiO4​)
Magnetite (Fe3​O4​)
Srebrodolskite (Ca2​Fe2​O5​)
Hematite (Fe2​O3​)
Chromite [(Fe,Mg)Cr2​O4​]
Wüstite [15]</t>
  </si>
  <si>
    <t>CaO (22–60%)
FeO (10–40%)
SiO2 (6–34%)
Al2O3 (3–14%)
Cr2O3 (~3.5%) [15]</t>
  </si>
  <si>
    <t>Zn (up to 37%)
Total Fe (35.1%)
Pb (3.1%)
Cd (traces) [30]</t>
  </si>
  <si>
    <t>Franklinite (ZnFe2​O4​)
Magnetite (Fe3​O4​)
Zincite (ZnO)
Halite (NaCl) [30]</t>
  </si>
  <si>
    <t>β−Dicalcium−silicate (Ca2​SiO4​)
Bredigite (Ca1.7​Mg0.3​SiO4​)
Cuspidine (Ca24F2​Si2O7​)
Gehlenite [17]</t>
  </si>
  <si>
    <t>Cr2O3 (0.5–7%)
CaO (40–55%)
SiO2 (25–30%)
MgO (5–12%) [17]</t>
  </si>
  <si>
    <t>CaO (30–65%)
Al2O3 (5–37%)
SiO2 (0.7–35%)
FeO (&lt;10%)
MgO (1–10%) [4]</t>
  </si>
  <si>
    <t>Larnite (Ca2​SiO4​)
Mayenite (Ca12Al14O33)
Periclase (MgO)
Portlandite (Ca(OH)2​) [38]</t>
  </si>
  <si>
    <t>Ca, Si, Mg, Al, Fe, Mn, Ti, V, Nb, S [19]</t>
  </si>
  <si>
    <t>V (1450–1500 mg/kg) in EAF slag [35]</t>
  </si>
  <si>
    <t>Akermanite (Ca2MgSi2O7)
Monticellite (CaMgSiO4)
Gehlenite (Ca2Al2SiO7)​, (CaSO4SiO2)
Primarily amorphous phase after rapidly cooling process [38]</t>
  </si>
  <si>
    <t>Vanadium spinel (FeV2​O4​)
Fayalite (Fe2​SiO4​)
Titanomagnetite [35]</t>
  </si>
  <si>
    <t>Native iron (Fe)
Wüstite (FeO)
Coke (or graphite)
Olivine [44]</t>
  </si>
  <si>
    <t>Quartz (SiO2​)
Pyrite (FeS2​)
Gypsum (CaSO4.2H2O)
Chlorite
Sanidine
Muscovite
Magnetite
Biotite [42]</t>
  </si>
  <si>
    <t>Cu (0.25–20%)
Fe
SiO2 (fayalitic matrix) [31]</t>
  </si>
  <si>
    <t>Cu, Ag, Au, Pb, Se, Te, As, Sb, Bi, Ni, PGMs (Pt, Pd, Rh, Ru, Ir) [12]</t>
  </si>
  <si>
    <t>Fayalite (Fe2​SiO4​)
Magnetite (Fe3​O4​)
Zinc–rich glass [54]</t>
  </si>
  <si>
    <t>V, Sn, Pb, As, Zn, Cu, Cd [19]</t>
  </si>
  <si>
    <t>Zincite (ZnO)
Anglesite (PbSO4)
Other volatile metallic oxides [30]</t>
  </si>
  <si>
    <t>Primarily rich in Cu, Cd, Zn (volatile components)
V, Sn, Pb, As, Zn (detected strategic metals) [19]</t>
  </si>
  <si>
    <t>SiO2 (11.2–75.0%)
Fe2O3 (2.46–85.3%)
Al2O3 (4.24–19%)
CaO (0.16–31.85%)
Cu (often ~1.11%) [42]</t>
  </si>
  <si>
    <t>Fayalite (Fe2​SiO4​)
Magnetite (Fe3​O4​)
Wüstite (FeO) [30]</t>
  </si>
  <si>
    <t>Ammonium jarosite (NH4​Fe3​(SO4​)2​(OH)6​)
Goethite (FeOOH)
Magnetite (Fe3​O4​) [61]</t>
  </si>
  <si>
    <t>Zincite (ZnO)
Halite (NaCl)
Sylvite (KCl)
Fluorite (CaF2) [30]</t>
  </si>
  <si>
    <t>Fe, Zn, Pb, S, In, Ag, Au, Cu, As, Cd, Hg, Sb, Ba [30]</t>
  </si>
  <si>
    <t>Mn, Si, Ca, Al, Mg, REEs (La, Ce, Nd, Pr etc.), Fe, Ba, P [58]</t>
  </si>
  <si>
    <t>Quartz (SiO2​)
Muscovite (KAl2​(AlSi3​O10​)(OH)2​)
Clinochlore
Chlorite
Albite
Calcite (CaCO3​)
Amphibole [42]</t>
  </si>
  <si>
    <t>Larnite (Ca2SiO4)
Gehlenite (Ca2Al2SiO7)
Calcite
Magnesium oxide [17]</t>
  </si>
  <si>
    <t>SiO2​
CaO
Al2O3
MgO
MnO
Fe–Si alloys [17]</t>
  </si>
  <si>
    <t>MnO
SiO2
CaO
Al2O3
MgO
REEs (traces upto 3370ppm) [58]</t>
  </si>
  <si>
    <t>Tephroite (Mn2​SiO4​)
Spinel [(Mn,Fe)(V,Cr)2​O4​]
Manganosite (MnO​)
Hausmannite (potential) [58, 11]</t>
  </si>
  <si>
    <t>MgO
Al2O3
SiO2
CaO
Cr (residual spinel) [11, 49]</t>
  </si>
  <si>
    <t>Enstatite (FMgSiO3​)
Forsterite (MgF2​SiO4​)
Magnesiochromite (MgCr2​O4​)
Chromite (FeCr2O4) [11, 49]</t>
  </si>
  <si>
    <t>Si, Al, Fe, Ca, W, REEs [42, 49]</t>
  </si>
  <si>
    <t>Fe2​O3​ (23–60%)
Al2O3 (12–30%)
SiO2​ (5–17%)
TiO2​ (1–11%)
Na2​O (1–10%) [36]</t>
  </si>
  <si>
    <t>Hematite (Fe2​O3​)
Goethite (FeOOH)
Cancrinite (Na6​Ca2​Al6​Si6​O24​(CO3​)2​)
Gibbsite (Al(OH)3)
Diaspore
Boehmite
Perovskite (CaTiO3) [2, 7]</t>
  </si>
  <si>
    <t>Fe, Al, Ca, Si, Ti, Na, Sc, V, Ga, Th, U, REEs, Mg, Mn, P, S, C [22, 7]</t>
  </si>
  <si>
    <t>An Innovative Process for Extracting Scandium from Nickeliferous Laterite Ore</t>
  </si>
  <si>
    <t>https://link.springer.com/chapter/10.1007/978-3-030-36758-9_12</t>
  </si>
  <si>
    <t>W, Fe, Mn, Si, Ca [50]</t>
  </si>
  <si>
    <t>Scheelite (CaWO4)
Wolframite residues [50]</t>
  </si>
  <si>
    <t>Quartz (SiO2​)
Tridymite
Rutile (TiO2​)
Diopside
Pyrite (FeS2​)
Phlogopite [42]</t>
  </si>
  <si>
    <t>Cu, Se, Sn, Pb and noble metals [12]</t>
  </si>
  <si>
    <t>Si, Al, Fe, Ca, Mo, S, Ti, Mg, K [42]</t>
  </si>
  <si>
    <t>Mo (154 mg/kg) in steel slags
Mo (~10%) in roasting/catalyst residues (industrial level) [49]</t>
  </si>
  <si>
    <t>Iron vanadium oxide (FeV2​O4​)
(Mg,Ni)O mixed oxides
Molybdates ((MoO4)2−​) [49, 58]</t>
  </si>
  <si>
    <t>Fe, Mg, Al, Si, Cr, Ca, S, O [49]</t>
  </si>
  <si>
    <t>Brownmillerite
Hydrocalumite
Ettringite
Chromite spinel [49]</t>
  </si>
  <si>
    <t>Fe2O3
MgO
Al2O3
SiO2
Hazardous Cr (VI) [49]</t>
  </si>
  <si>
    <t>Mn (oxides or carbonates)
SiO2
Al2O3
Fe [49, 58]</t>
  </si>
  <si>
    <t>Pyrolusite (MnO2​)
Rhodochrosite (MnCO3​)
Quartz (SiO2​) [49]</t>
  </si>
  <si>
    <t>Gypsum (CaSO4​⋅2H2​O)
Quartz (SiO2​)
Jarosite [49]</t>
  </si>
  <si>
    <t>Mn, Fe, Si, Ca, Al, Mg, S, O [49]</t>
  </si>
  <si>
    <t>Quartz (SiO2​)
Cassiterite (SnO2​)
Mica [49]</t>
  </si>
  <si>
    <t>Silicate glass
Tantalite ([Fe,Mn]Ta2​O6​)
Columbite [49]</t>
  </si>
  <si>
    <t>Sn
SiO2
Al2O3
Fe
Nb, Ta (traces) [49]</t>
  </si>
  <si>
    <t>Ta and Nb oxides
SiO2
CaO
Al2O3
FeO [49]</t>
  </si>
  <si>
    <t>Metallic alloy (Cu– Sn– Pb)
Noble metal particulates (Au, Ag, Pd) [1, 49]</t>
  </si>
  <si>
    <t>Au, Ag, Pd, Cu, Sn, Ni, Al, Fe, Si, O [1, 49]</t>
  </si>
  <si>
    <t>Metallic lead (Pb)
Metal antimonates
Graphite [49]</t>
  </si>
  <si>
    <t>Graphite
Lithium cobalt oxide (LiCoO2​)
Spodumene polymorphs (α,γ,β) [49]</t>
  </si>
  <si>
    <t>Pb
Sb
As
Ni
Li
C [49]</t>
  </si>
  <si>
    <t>Fe
SiO2
Al2O3
Cu (residual)
Other strategic metals [49]</t>
  </si>
  <si>
    <t>Fayalite (Fe2​SiO4​)
Magnetite (Fe3​O4​)
Cu–rich droplets
Spinel [49]</t>
  </si>
  <si>
    <t>Naumannite (Ag2​Se)
Cuprite (Cu2​O)
Anglesite (PbSO4​)
Metallic gold [12]</t>
  </si>
  <si>
    <t>Zn (21.6%)
Fe (29.5%)
Si (5.6%)
Pb (1.3%)
CaO (9.3%) [19]</t>
  </si>
  <si>
    <t>Franklinite (ZnFe2​O4​)
Magnetite (Fe3​O4​)
Zincite (ZnO)
Lead oxides (PbO) [19]</t>
  </si>
  <si>
    <t>Zn, Fe, Si, Pb, Ca, O, Cd, Mn, Al, Cu, S, As, C [19]</t>
  </si>
  <si>
    <t>Mg(Fe, Al)2O4 (82%)
Free MgO (9%)
Ti, V, Cr (traces) [13]</t>
  </si>
  <si>
    <t>Ce2O3 (34–51%)
TiO2 (9–24%)
Fe2O3 (7–23%) [7]</t>
  </si>
  <si>
    <t>Fe (27–42%)
SiO2 (24%)
Al2O3 (6%)
Au (5–10 g/t)
residual cyanide [52]</t>
  </si>
  <si>
    <t>CaSO4.2HO
F
S
heavy metal (traces) [48]</t>
  </si>
  <si>
    <t>Quartz (SiO2​)
Pyrite (FeS2​)
Feldspar
Mica
Hematite
Goethite [52]</t>
  </si>
  <si>
    <t>Cerium ferrotitanate
Sodalite
Cancrinite [7]</t>
  </si>
  <si>
    <t>Aluminum phosphates
Iron phosphates
Quartz (SiO2​) [48]</t>
  </si>
  <si>
    <t>Ti, Si, P, Ca, Al, O, S, As, W, V [50]</t>
  </si>
  <si>
    <t>Anatase or Rutile (TiO2​)
Vanadium oxides
Tungsten oxide (WO3​) [50]</t>
  </si>
  <si>
    <t>Gypsum (CaSO4​⋅2H2​O)
Bassanite (CaSO4​⋅0.5H2​O)
Anhydrite [48]</t>
  </si>
  <si>
    <t>Ca, S, O, H, F, Pb, Cl, Al, Fe, Mg, Si [48]</t>
  </si>
  <si>
    <t>Metallic silver (Ag)
Ag3Sn [12]</t>
  </si>
  <si>
    <t>Cordierite (Mg2​Al4​Si5​O18​)
Spinel
Mullite
Glassy phase [5]</t>
  </si>
  <si>
    <t>Hematite (Fe2​O3​)
Magnetite (Fe3​O4​)
Calcium sulfate [52]</t>
  </si>
  <si>
    <t>Iron oxides
sulfates
residual Au
As [52]</t>
  </si>
  <si>
    <t>Ce, Ti, Fe, Ca, Na, O, La, Pr, Nd, Th, Al, Si [7]</t>
  </si>
  <si>
    <t>SCR emission control, petroleum refining [5, 50, 49]</t>
  </si>
  <si>
    <t>Nd, Pr, Y, La, Ce, P, O, Th, heavy REEs [7]</t>
  </si>
  <si>
    <t>CaSO4.2H2O
P2O5 (residual)
REEs (Nd, Pr)
U (traces) [49]</t>
  </si>
  <si>
    <t>Silver anode mud or slimes</t>
  </si>
  <si>
    <t>REE neutralization sludges</t>
  </si>
  <si>
    <t>Gypsum (CaSO4​⋅2H2​O)
Brushite
REE–phosphates [17, 49]</t>
  </si>
  <si>
    <t>Ca, S, O, P, Nd, Pr, U, La, Ce, Y [58, 49]</t>
  </si>
  <si>
    <t>Concentrated REE in hyroxides form [49]</t>
  </si>
  <si>
    <t>Light REE hydroxides and carbonates
Perovskite (CaTiO3​) [7]</t>
  </si>
  <si>
    <t>La, Ce, Nd, Y, Pr, Sm, transition metals [49]</t>
  </si>
  <si>
    <t>Iron–oxyhydroxides (Fe ~41.9%) with residual Mg (~1.8%), Al (~2.2%), Ni (~1.2%) and Co (traces) [17]</t>
  </si>
  <si>
    <t>Goethite (FeO(OH))
Hematite (Fe2O3)
Talc
Birnessite
Bayerite (Al(OH)3) [17]</t>
  </si>
  <si>
    <t>Fe, Mg, Al, Ni, Co, Mn, Cr, Si, O [17]</t>
  </si>
  <si>
    <t>Selective acid or alkali leaching to recover Ni, Co, Sc, and REEs from Fe–oxyhydroxide matrix [49]
Neutralization or precipitation to stabilise dissolved metals and reduce process acidity [21]
Geopolymer formation (alkali activation) for construction applications [21]</t>
  </si>
  <si>
    <t>Alkali roasting to convert Cr into extractable sodium chromate or chromite species [35]
Magnetic separation to recover Fe–rich or Cr–rich spinel fractions [21]
Accelerated carbonation to immobilise Cr(VI) and stabilises the material [35]</t>
  </si>
  <si>
    <t>Acidic leaching to extract Mn from its silicate phases [21]
Roasting to convert Mn–bearing phases into more leachable oxides [44]
Carbonate precipitation to obtain MnCO3 or MnSO4 intermediates [21]</t>
  </si>
  <si>
    <t>Si extraction through hydrometallurgical or thermal treatment [21]
Return to furnace as reductant or silicon source [ 21]
Crushing into graded aggregates for low–value construction filler applications [21]</t>
  </si>
  <si>
    <t>Hydrometallurgical leaching to extract W from post–smelting oxides [21]
Oxidative roasting to improve W phase solubility [49]</t>
  </si>
  <si>
    <t>Selective alkaline or acid leaching to dissolve W–bearing scheelite or wolframite residues [23]
Roasting to break refractory mineral structures and improve leachability [27]
Gravity or flotation beneficiation to obtain concentrated heavy W minerals [42]</t>
  </si>
  <si>
    <t>Cr(VI) chemical reduction to Cr (III) using reductants [37]
Alkaline roasting to liberate Cr for selective extraction [49]
Selective leching for extraction of Cr and Fe from detoxified material [21]</t>
  </si>
  <si>
    <t>Neutralization to precipitate metal hydroxides [49]
Oxidation roasting to convert Mn phases into suitable oxide forms [49]</t>
  </si>
  <si>
    <t>Gravity separation to concentrate heavy Sn or Nb or Ta minerals [23]
Froth flotation for selective mineral beneficiation [27]
Acid leaching of Sn or Nb or Ta metals for recovery purposes [42]</t>
  </si>
  <si>
    <t>Electrolyte removal via washing or thermal stripping [21]
Hydrometallurgical processing to dissolve active metals [25]
C purification via calcination or activation process [36]</t>
  </si>
  <si>
    <t>Comminution to liberate metal–bearing fractions [21]
Pyrometallurgical smelting to concentrated metals [21]
Hydrometallurgical leaching for metal recovery of Cu, Au, Ag, PGMs [49]</t>
  </si>
  <si>
    <t>Roasting to break refractory metal phases [12]
Sequential leaching to extract Au, Ag, PGMs [21]
Electrorefining to obtain high–purity state of metals [12]</t>
  </si>
  <si>
    <t>Hydrometallurgical volatilization to recover Zn, Pb, Cd, As metals [21]
Stabilization to immobilize hazardous species [21]</t>
  </si>
  <si>
    <t>Washing and removing impurities to reduce radionuclides [21]
Stabilization for safe construction material use [49]
REE acid leaching from phosphate– linked minerals [49]</t>
  </si>
  <si>
    <t>REE or U leaching to extract the critical minerals [49]
Neutralization to stabilize acidic residues [21]
Geopolymerization as alternative binder feed [49]</t>
  </si>
  <si>
    <t>Acid leaching to dissolve metals like Ni, Cr, Fe selectively [49]
Precipitation to form pigment–grade magnetite [49]</t>
  </si>
  <si>
    <t>Leaching to extract remaining residual REEs [49]
Neutralization to stabilize radioactive elements [37]</t>
  </si>
  <si>
    <t>Oxidation roasting to break Se or Te compounds [12]
Sequential leaching to extract Ag, Au, Se, Te [6]
Electrorefining to produce high–purity Ag or Au metals [12]</t>
  </si>
  <si>
    <t>Detoxification (SO2/air process) to destroy residual cyanide [52]
Thiosulfate or halide releaching to recover remaining Au or Ag metals [23]
Geopolymerization to immobilize residual toxic phases involving alkali activation [23]</t>
  </si>
  <si>
    <t>Washing and removing of  impurities for reduction in halides or metals present [31]
Solidification to improve mechanical or geo–environmental performance [53]</t>
  </si>
  <si>
    <t>Ag (1–28%)
Au (0.1–1.5%)
PGMs (~70 g/t)
Se, Te, Cu, Pb 
Bulk Cu (10–50 wt%) [12]</t>
  </si>
  <si>
    <t>Typically Zn–leach residues by hydrometallurgical process (Fe, Zn, Pb, S, In, Ag, Au) [12, 28]</t>
  </si>
  <si>
    <t>Silicate–based slag consisting of W and Ca oxides [50]</t>
  </si>
  <si>
    <t>Au (0.1–1.5%)
Ag
Pd
Cu
Sn
Pb in solid wt% [12, 49]</t>
  </si>
  <si>
    <t>Low: dry ultra–fine powder collected in filter system [49]</t>
  </si>
  <si>
    <t>Solid state: fine–grained oxide residue, mixed with iron–magnesium oxides [13]</t>
  </si>
  <si>
    <t>Pressure oxidation or roasting to oxidize sulfides and open mineral structures [52]
Cyanidation or thiourea–leaching for liberated metals [21]
Ar stabilization (Fe–As compounds) for ensuring safe handling [21]</t>
  </si>
  <si>
    <t>Collector smelting (Cu–matte) to capture PGMs [5]
Hydrometallurgical leaching for PGMs dissolution [21]</t>
  </si>
  <si>
    <t>Al2O3
SiO2
MgO
CaO
PGMs – Pt, Pd, Rh (traces) [5]</t>
  </si>
  <si>
    <t>Neutralization and precipitation to stabilise acidic residues [11]
Selective leaching to recover Fe or Ni or Cr from acid–derived metal complex [11]
Calcination or thermal decomposition to convert precipitated salts into oxide forms for suitable reuse [11]</t>
  </si>
  <si>
    <t>7.0–9.0: generated from neutralization precipitation of residue [11]</t>
  </si>
  <si>
    <t>9.0–13.0: Extremely alkaline [45], neutralized using seawater neutralization or carbon dioxide sequestration for safe discharge or construction purposes [36]</t>
  </si>
  <si>
    <t>REE or acid process – neutralization [49]</t>
  </si>
  <si>
    <t>High: handled as wet slurry or neutralized filter cake [49]</t>
  </si>
  <si>
    <t>Contributes to the construction and cement industries by reducing carbon dioxide emissions and producing a high volume, low cost material [38, 46]</t>
  </si>
  <si>
    <t>High–Pressure Acid Leaching (HPAL) tailings or Fe–oxyhydroxide residues</t>
  </si>
  <si>
    <t>Bauxite (Al(OH)3) and impurities [36, 45]</t>
  </si>
  <si>
    <t>6.7–10.0: Si–rich [52]
Acidic (when pH drops below 3.5), Acid Mine Drainage (AMD) risk if sulfide–rich</t>
  </si>
  <si>
    <t>Re–flotation to re–capture remaining sulfide minerals and residual metals [23, 27]
Alkali activation to convert aluminosilicate phases into geopolymer binders [42]
Thermal roasting to decompose sulfides prior leaching [27]
Bioleaching using microbial oxidation to mobilize Cu, Zn or Co from silicate and sulfide phases [23]</t>
  </si>
  <si>
    <t>Mn
Fe
Si
Ca
Al
Mg
sulfates [49]</t>
  </si>
  <si>
    <t>S. No word mapping</t>
  </si>
  <si>
    <t>S. No. Excel</t>
  </si>
  <si>
    <t xml:space="preserve">Mapped Excel </t>
  </si>
  <si>
    <t>OLD</t>
  </si>
  <si>
    <t>NEW</t>
  </si>
  <si>
    <t>Hematite (Fe2O3), magnetite (Fe3O4), limonite, siderite [43,52,23]</t>
  </si>
  <si>
    <t>Ironmaking – blast furnace (BF) [10,7,52]</t>
  </si>
  <si>
    <t>Wet or air granulation to form glassy slag, produces latent hydraulic reactivity [43]
Mechanical activation (i.e., grinding) to produce Supplementary Cementitious Material (SCM)  [38, 46]
Accelerated carbonation with carbon dioxide sequestration leading to stabilisation of reactive Ca phases [38]
Thermal treatment for inducing crystallisation process for glass ceramics applications [43]
Crushing and screening for aggregate production [43]</t>
  </si>
  <si>
    <t>Variability in phase ratio, potential leaching of trace elements [7]</t>
  </si>
  <si>
    <t>Contributes to the construction and cement industries by reducing carbon dioxide emissions and producing a high volume, low cost material [6,43]</t>
  </si>
  <si>
    <t>75% used for hydraulic binder, aggregates, clinker raw materials, glass ceramics, bricks, silica gel and adsorbents [52,43]</t>
  </si>
  <si>
    <t>Sc, V, REEs – LREEs and HREEs (La, Y, Nd, Ce) [23]</t>
  </si>
  <si>
    <t>Mn, REEs for magnets ( Nd, Ce, Pr, Sm, Gd, Dy) [52]</t>
  </si>
  <si>
    <t>CaO (28–51%)
SiO2 (26–40%)
Al2O3 (6–20%)
MgO (4–11%)
Fe2O3 (&lt;2%) [52]</t>
  </si>
  <si>
    <t>Akermanite (Ca2MgSi2O7)
Monticellite (CaMgSiO4)
Gehlenite (Ca2Al2SiO7)​, (CaSO4SiO2)
Primarily amorphous phase after rapidly cooling process [6]</t>
  </si>
  <si>
    <t>Ca, Si, Al, Mg, Fe, S, Mn, Ti, K, Na and trace of REEs (La, Ce, Nd, Pr, Y, Er,Dy) [13]</t>
  </si>
  <si>
    <t>Solid state: molten liquid during production stage forming granular or vitrified solid after air or water cooling [52]</t>
  </si>
  <si>
    <t>150–347 kg/t Hot Metal (HM) (avg. 249 kg/t) [38]</t>
  </si>
  <si>
    <t>10.0–11.0: highly alkaline [6]</t>
  </si>
  <si>
    <t>Negligible: solid oxide matrix after air or water cooling [52]</t>
  </si>
  <si>
    <t>Steelmaking through Basic Oxygen Furnace (BOF) or Linz–Donawitz (LD) processes [52,38,43]</t>
  </si>
  <si>
    <t>Weathering (aging) for reduction of volume expansion and stabilisation of free lime [23]
Metal recovery of iron (mainly) through magnetic separation [46]
Accelerated carbonation for immobilisation of Cr and V to improve durability [38, 17]
Crushing and grading for construction materials use [46]
Hot–stage modification during tapping to adjust basicity and add flux to control chemical composition [23]</t>
  </si>
  <si>
    <t>High basicity, free lime expansion potential, potential leaching of Cr or V [38,23]</t>
  </si>
  <si>
    <t>Potential for carbon dioxide sequestration, internal recycling within the plant [23]</t>
  </si>
  <si>
    <t>Aggregates, asphalt and railway ballast, soil conditioning agent, cement clinker raw material [23,43]</t>
  </si>
  <si>
    <t>V, Al (bauxite) [7]</t>
  </si>
  <si>
    <t>CaO (36.4–55%)
FeO or Fe2O3 (10–37%)
SiO2 (7–23%)
MgO (0.4–14%)
P2O5 (1–3.35%) [6]</t>
  </si>
  <si>
    <t>Dicalcium silicate (C2S)
Tricalcium silicate (C3S)
Srebrodolskite (Ca2Fe2O5)
Merwinite (Ca3Mg(SiO4)2)
Wüstite (FeO) [52]</t>
  </si>
  <si>
    <t>Ca, Fe, Si, Mg, P, S, Mn, Al, Cr, K, V, Na [38]</t>
  </si>
  <si>
    <t>Solid state: stony, granular or rocky aggregate [23]</t>
  </si>
  <si>
    <t>85–165 kg/t Liquid Steel (LS) (avg. 125 kg/t) [38]</t>
  </si>
  <si>
    <t>11.0–13.0: strongly alkaline with approximate average of 12.5 [6]</t>
  </si>
  <si>
    <t>Negligible: stony or rocky solid aggregates [23]</t>
  </si>
  <si>
    <t>Off–gas cleaning system or water scrubbing during Blast furnace (BF) or Basic Oxygen Furnace (BOF) operations [10,7,35]</t>
  </si>
  <si>
    <t>Dewatering and pelletisation to improve handling and furnace recyclability [7]
Hydrometallurgical processes for removal of impurities like Zn and Pb prior to Fe recovery [8, 11]
Pyrometallurgical reduction process through Waelz or rotary kiln for volatilisation of Zn and upgradation of Fe fraction [44]
Magnetic separation for producing Fe–rich concentration, suitable for reuse [7]</t>
  </si>
  <si>
    <t>Zn, Pb or oil contamination present, high moisture content, fine particle size distribution [7]</t>
  </si>
  <si>
    <t>Zn and Pb recovery boosts the economic value and recyclability of raw material demand [7]</t>
  </si>
  <si>
    <t>Fe source for sinter, Zn and Pb recovery, magnetite concentrate [7]</t>
  </si>
  <si>
    <t>P, REEs – LREEs and HREEs (La, Y) [7]</t>
  </si>
  <si>
    <t>Fe (20–70%)
C (10–50%)
Zn (0.1–0.9%) [7]</t>
  </si>
  <si>
    <t>Hematite (Fe2O3)
Magnetite (Fe3O4)
​Wüstite (FeO)
​Graphite (C)
Quartz (SiO2) 
Cacite [10]</t>
  </si>
  <si>
    <t>Fe, C, Zn, Pb, Ca, Mg, Si, S, Na, K, Mn [7]</t>
  </si>
  <si>
    <t>Wet solid or filter cake: slurry prior to dewatering [7]</t>
  </si>
  <si>
    <t>BF: 2–22 kg/t Hot Metal (HM) (avg. 12 kg/t)
BOF: 15–16 kg/t Liquid Steel (LS) [38]</t>
  </si>
  <si>
    <t>Alkaline: high moisture containing 9.0–10.6% of CaO with high buffering capacity [10]</t>
  </si>
  <si>
    <t>High: wet gas–cleaning product handled as wet slurry or filter cake) [7]</t>
  </si>
  <si>
    <t>Surface oxidation during hot rolling of steel [43,7]</t>
  </si>
  <si>
    <t>Thermal de–oiling to remove hydrocarbons and make the oxide suitable for further processing [7]
Reduction roasting to convert Fe oxides into more recoverable metallic phases [7]
Magnetic upgrading to separate high–grade Fe oxide fractions from gangue [7]</t>
  </si>
  <si>
    <t>Oil contamination hence requires de–oiling process [43]</t>
  </si>
  <si>
    <t>High–grade Fe obtained, making it an economic driver for reuse [43]</t>
  </si>
  <si>
    <t>Feed for sinter or pellets, Fe powder, anti–corrosion pigments [43,5]</t>
  </si>
  <si>
    <t>V [7]</t>
  </si>
  <si>
    <t>Total Fe (70–95%)
SiO2 (generally &lt;10%)
FeO (wüstite) primary phase [43]</t>
  </si>
  <si>
    <t>Wüstite (FeO)
Hematite (Fe2​O3​)
Magnetite (Fe3​O4​)
Silica (SiO2​)
Magnesioferrite (MgFe2​O4​) [43]</t>
  </si>
  <si>
    <t>Fe, Si, Mn, Co, Cr [5]</t>
  </si>
  <si>
    <t>Solid state: flaky particles or oiled scale [43]</t>
  </si>
  <si>
    <t>2–8 kg/t Liquid Steel (LS) (avg. 5 kg/t) [38]</t>
  </si>
  <si>
    <t>Near–neutral to alkaline [38]</t>
  </si>
  <si>
    <t>Low: flaky solid particles often containing surface oil [33]</t>
  </si>
  <si>
    <t>Acid pickling operation during steel surface treatment [7]</t>
  </si>
  <si>
    <t>Neutralization and precipitation to stabilise acidic residues [7]
Selective leaching to recover Fe or Ni or Cr from acid–derived metal complex [7]
Calcination or thermal decomposition to convert precipitated salts into oxide forms for suitable reuse [7]</t>
  </si>
  <si>
    <t>High acidity, hazardous classification, presence of various metals [7,30]</t>
  </si>
  <si>
    <t>Recovery of Fe salts and hazardous waste disposal leads to cost savings [7]</t>
  </si>
  <si>
    <t>Fe salt recovery, regeneration of pickling acid, pigments [7]</t>
  </si>
  <si>
    <t>Ni (battery grade) [7]</t>
  </si>
  <si>
    <t>Fe (21.68%)
Cr (2.42%)
Ni (2.78%)
Primarily rich in salts and secondary metals [7]</t>
  </si>
  <si>
    <t>Fluorite (CaF2) if neutralized
Metal hydroxide (Fe, Cr, Ni) [7]</t>
  </si>
  <si>
    <t>Fe, Cr, Ni, Ca, F [7]</t>
  </si>
  <si>
    <t>Wet solid or sludge: precipitated filter cake [7]</t>
  </si>
  <si>
    <t>Generated as minor byproduct [7]</t>
  </si>
  <si>
    <t>7.0–9.0: generated from neutralization precipitation of residue [7]</t>
  </si>
  <si>
    <t>Significant: neutralized precipitates handled as wet filter cake [7]</t>
  </si>
  <si>
    <t>Scrap steel, direct reduced iron [23,38]</t>
  </si>
  <si>
    <t>Electric Arc Furnace (EAF) steelmaking process [7,52]</t>
  </si>
  <si>
    <t>Magnetic separation to recover entrained metallic phases [33,23]
Carbonation to avoid Cr (VI) formation [17, 38]
Mechanical activation (Grinding) to enhance cementitious applications [38, 46]
Hot–stage foaming or slag formation for controlling FeO content [15]</t>
  </si>
  <si>
    <t>High metal droplets, variable composition, Cr (VI) risk [33,23]</t>
  </si>
  <si>
    <t>Recovery of alloy elements (Cr or V or Mo)that is economically beneficial [23,33]</t>
  </si>
  <si>
    <t>Aggregates, Supplementary Cementitious Material (SCM), Cr or V or Mo concentrates, alkali–activated binders [33,23]</t>
  </si>
  <si>
    <t>V, Nb, Al (bauxite), Ti, Mg [33]</t>
  </si>
  <si>
    <t>Mg metal, Ti metal [23]</t>
  </si>
  <si>
    <t>CaO (22–60%)
FeO (10–40%)
SiO2 (6–34%)
Al2O3 (3–14%)
Cr2O3 (~3.5%) [33]</t>
  </si>
  <si>
    <t>Ca, Fe, Si, Mg, Mn, Al, S, P, Cr, V, Ni, Cu, Pb, Zn [33]</t>
  </si>
  <si>
    <t>Solid state: stony or granular aggregate [33]</t>
  </si>
  <si>
    <t>60–270 kg/t Liquid Steel (LS) (avg. 165 kg/t) [38]</t>
  </si>
  <si>
    <t>10.0–12.0: highly alkaline, recorded at 11.7 approximately [6]</t>
  </si>
  <si>
    <t>Negligible: stony solid aggregates [33]</t>
  </si>
  <si>
    <t>EAF off–gas cleaning – baghouse or Electrostatic Precipitator (ESP) dust [37,7]</t>
  </si>
  <si>
    <t>Waelz kiln volatilisation process to produce ZnO fume [40]
Hydrometallurgical leaching through acid or alkali [8, 11]
Chloride removal or dechlorination [8]
Agglomeration and reduction for Fe recovery [11]</t>
  </si>
  <si>
    <t>Hazardous presence of Pb or Cd or Cr, fine particles, Cl contamination [7,35]</t>
  </si>
  <si>
    <t>Major secondary source of Zn globally, advantageous Waelz processing [35,23]</t>
  </si>
  <si>
    <t>High–grade ZnO, Zn metal, Fe–rich pellets, insulators [35]</t>
  </si>
  <si>
    <t>As [35]</t>
  </si>
  <si>
    <t>Zn (up to 37%)
Total Fe (35.1%)
Pb (3.1%)
Cd (traces) [35]</t>
  </si>
  <si>
    <t>Franklinite (ZnFe2​O4​)
Magnetite (Fe3​O4​)
Zincite (ZnO)
Halite (NaCl) [35]</t>
  </si>
  <si>
    <t>Zn, Fe, Pb, Cd, Cl, Na, Mn, Al, Cr, K [35]</t>
  </si>
  <si>
    <t>Solid state: fine powder, often characterized by spherical particles [10]</t>
  </si>
  <si>
    <t>10–30 kg/t Liquid Steel (LS) (avg. 20 kg/t) [38]</t>
  </si>
  <si>
    <t>12.0 approximately: natural pH in water wash [6]</t>
  </si>
  <si>
    <t>Low: fine dry powder collected in baghouses or ESP filters [35]</t>
  </si>
  <si>
    <t>Stainless steelmaking – EAF or Ladle furnace (LF) [17,7]</t>
  </si>
  <si>
    <t>Metal recovery of Cr or Ni or Mo through magnetic or density separation [17]
Free–lime stabilisation via aging process [17]
Carbonation for immobilisation of heavy–metals [38]
Thermal or chemical activation for Supplementary Cementitious Material (SCM) use [46, 18]</t>
  </si>
  <si>
    <t>Heavy metal content, variability, free–lime expansion [23]</t>
  </si>
  <si>
    <t>Contains high value SRMs (Cr or Ni or Mo or Ti) [7]</t>
  </si>
  <si>
    <t>Metallic reverts, Precipitated Calcium Carbonate (PCC), geopolymers, aggregates [23]</t>
  </si>
  <si>
    <t>V [33]</t>
  </si>
  <si>
    <t>Ni, Ti metal [33]</t>
  </si>
  <si>
    <t>Cr2O3 (0.5–7%)
CaO (40–55%)
SiO2 (25–30%)
MgO (5–12%) [23]</t>
  </si>
  <si>
    <t>β−Dicalcium−silicate (Ca2​SiO4​)
Bredigite (Ca1.7​Mg0.3​SiO4​)
Cuspidine (Ca24F2​Si2O7​)
Gehlenite [23]</t>
  </si>
  <si>
    <t>Cr, Ca, Si, Mg, Ni, Mo, Ti, V, Mn, Fe, Al, F [23]</t>
  </si>
  <si>
    <t>Estimated to be 15–17 Mt global annual amount production [23]</t>
  </si>
  <si>
    <t>Highly basic: used for neutralising acidic wastewater [23]</t>
  </si>
  <si>
    <t>Low: solid granular aggregate [23]</t>
  </si>
  <si>
    <t>Secondary steel refining – Ladle furnace (LF) [52,23,43]</t>
  </si>
  <si>
    <t>Aging to complete y–C2S (gamma–dicalcium silicate) transformation for preventing dust and stabilising expansion [17]
Crushing and sieving for soil–stabilisation feedstock used in cementitious applications [46]
Mechanical activation (i.e., milling) of Supplementary Cementitious Material (SCM) or geopolymer to increase reactivity by fine grinding [38, 46]</t>
  </si>
  <si>
    <t>High basicity and dusting,instability of volume [43]</t>
  </si>
  <si>
    <t>Supplementary Cementitious Material (SCM) or geopolymer usage suitable for lowering the cement cost [23,6]</t>
  </si>
  <si>
    <t>Quicklime subsitute, soil stabilisation, Supplementary Cementitious Material (SCM) or geopolymers [52,23]</t>
  </si>
  <si>
    <t>Al (bauxite) [52]</t>
  </si>
  <si>
    <t>Mg metal [52]</t>
  </si>
  <si>
    <t>CaO (30–65%)
Al2O3 (5–37%)
SiO2 (0.7–35%)
FeO (&lt;10%)
MgO (1–10%) [52]</t>
  </si>
  <si>
    <t>Larnite (Ca2​SiO4​)
Mayenite (Ca12Al14O33)
Periclase (MgO)
Portlandite (Ca(OH)2​) [6]</t>
  </si>
  <si>
    <t>Ca, Si, Mg, Al, Fe, Mn, Ti, V, Nb, S [38]</t>
  </si>
  <si>
    <t>Solid state: typically fine powder or fine granular due to dusting phase [52]</t>
  </si>
  <si>
    <t>10–80 kg/t Liquid Steel (LS) (avg. 45 kg/t) [38]</t>
  </si>
  <si>
    <t>11.0–13.0: highly alkaline nature with an average of 12.5 approximately [6]</t>
  </si>
  <si>
    <t>Low: solid powder or granular material exhibiting dust behavior [52]</t>
  </si>
  <si>
    <t>Titaniferous magnetite, vanadinite [23,51]</t>
  </si>
  <si>
    <t>Steelmaking and V recovery step [51]</t>
  </si>
  <si>
    <t>Oxidation roasting (Na2CO3 or CaO) to convert V–bearing phases into soluble vandates for efficient extraction [51]
Selective leaching to dissolve V species and separate recoverable V5+ from the Fe–rich residue [51]
Dust recirculation in BOF or EAF units to recover Fe and reduce waste generation [51]
Magnetic separation to isolate Fe–rich material from V–enriched oxides before or after roasting [51]
Secondary smelting to concentrate V in the slag phase while producing recyclable metallic Fe [51]
Stabilisation of fine V bearing particulates during off–gas dust cleaning to ensure safe handling [51]</t>
  </si>
  <si>
    <t>Variable V content, dust handling issues [51]</t>
  </si>
  <si>
    <t>V recovery which is a high economic value, especially for battery applications [51]</t>
  </si>
  <si>
    <t>V compounds (V2O5, APV), Fe production [51]</t>
  </si>
  <si>
    <t>V [51]</t>
  </si>
  <si>
    <t>V (1450–1500 mg/kg) in EAF slag [51]</t>
  </si>
  <si>
    <t>Vanadium spinel (FeV2​O4​)
Fayalite (Fe2​SiO4​)
Titanomagnetite [51]</t>
  </si>
  <si>
    <t>V, Fe, Ti, Mn, Cr, Al, Si, Mg [51]</t>
  </si>
  <si>
    <t>Solid state: granular slag or fine flue dust powder [51]</t>
  </si>
  <si>
    <t>~52 Mt total steelmaking byproduct according to 2019 EU production [38]</t>
  </si>
  <si>
    <t>11.0–13.0: slag matrix or acidic recovery context [51]</t>
  </si>
  <si>
    <t>Low: managed as solid slag or fine flue dust [51]</t>
  </si>
  <si>
    <t>Chalcopyrite (CuFeS2), bornite (Cu5FeS4) [53,48]</t>
  </si>
  <si>
    <t>Copper pyrometallurgy – Matte smelting or converting [18,53,45]</t>
  </si>
  <si>
    <t>Flotation of entrapped matte phase to recover Cu– and Fe–rich mineral fractions [18]
Reduction smelter slag to separate metallic Fe and Cu droplets from Si matrix [31]
High temperature fuming to volatilise Zn and Pb for off–gas recovery [18]
Mechanical activation like fine grinding to enhance latent hydraulic reactivity for binder use [54]</t>
  </si>
  <si>
    <t>Hindrance in grinding due to glassy nature, environmental classification [18]</t>
  </si>
  <si>
    <t>86% environmental impact reduction in comparison to primary mining [53]</t>
  </si>
  <si>
    <t>SCM, inorganic polymer binders, aggregates, blasting media, metal recovery of Cu, Fe, Au, Ag, PGMs [18,45]</t>
  </si>
  <si>
    <t>P, traces of REEs – LREEs and HREEs [48]</t>
  </si>
  <si>
    <t>Ni (battery grade), Co, Cu [48]</t>
  </si>
  <si>
    <t>FeO (48%)
SiO2 (24.20%)
ZnO (4.73%)
CaO (2.54%)
Al2O3 (7.61%) [18]</t>
  </si>
  <si>
    <t>Fayalite (Fe2​SiO4​)
Magnetite (Fe3​O4​)
Zinc–rich glass [45]</t>
  </si>
  <si>
    <t>Fe, Si, Al, Zn, Ca, Cr, Cu, Pb [18]</t>
  </si>
  <si>
    <t>Solid state: granular, stony or vitrified or glassy [18]</t>
  </si>
  <si>
    <t>Included in general &gt;8.5 Mt annual production [44]</t>
  </si>
  <si>
    <t>Alkaline: stable fayalitic glass matrix [45]</t>
  </si>
  <si>
    <t>Low: vitrified or glassy solid [18]</t>
  </si>
  <si>
    <t>Off–gas cleaning – Roasters or smelters or converters [53,30]</t>
  </si>
  <si>
    <t>Hydrometallurgical leaching like acid or alkali, to dissolve Zn and Pb or As or Sb selectivity from oxide mixture [53,20]
Volatilisation in fuming furnaces to separate volatile metals from residue [21]
Stabilisation or Solidification to immobilise hazardous elements for safe handling [21]</t>
  </si>
  <si>
    <t>High volatility of As or Pb or Cd, hazardous [48]</t>
  </si>
  <si>
    <t>Recovery of valuable volatile metals (As or Sb or Bi or Zn) [53]</t>
  </si>
  <si>
    <t>ZnO, Cu electrowinning, sponge Cd, concentrates of Zn and Pb or As or Sb [48]</t>
  </si>
  <si>
    <t xml:space="preserve">V [30] </t>
  </si>
  <si>
    <t>Traces of PGMs, REEs for magnets [35]</t>
  </si>
  <si>
    <t>Primarily rich in Cu, Cd, Zn (volatile components)
V, Sn, Pb, As, Zn (detected strategic metals) [38]</t>
  </si>
  <si>
    <t>Zincite (ZnO)
Anglesite (PbSO4)
Other volatile metallic oxides [35]</t>
  </si>
  <si>
    <t>V, Sn, Pb, As, Zn, Cu, Cd [38]</t>
  </si>
  <si>
    <t>Solid state: ultra–fine powder collected from Electrostatic Precipitators [35]</t>
  </si>
  <si>
    <t>Represents 11.83% of integrated route byproducts [38]</t>
  </si>
  <si>
    <t>Alkaline: high Na and Ca oxide content [41]</t>
  </si>
  <si>
    <t>Low: ultra–fine dry powder collected from ESP [35]</t>
  </si>
  <si>
    <t>Beneficiation – floatation or gravity or magnetic separation [24,4,25]</t>
  </si>
  <si>
    <t>Re–flotation to re–capture remaining sulfide minerals and residual metals [4,25]
Alkali activation to convert aluminosilicate phases into geopolymer binders [42]
Thermal roasting to decompose sulfides prior leaching [27]
Bioleaching using microbial oxidation to mobilize Cu, Zn or Co from silicate and sulfide phases [23]</t>
  </si>
  <si>
    <t>Very large volumes generated, mineralogical variability [4,25]</t>
  </si>
  <si>
    <t>Through reprocessing, large secondary resources are generated [24,25]</t>
  </si>
  <si>
    <t>Bricks or tiles, geopolymer blocks, fine aggregates, low–C cement, nano–Cu biosynthesis [4,14,24]</t>
  </si>
  <si>
    <t>V, Sc, Ta, Nb, REEs – LREEs and HREEs (La, Y, Eu, Ho, Er, Tm, Yb, Lu) [48]</t>
  </si>
  <si>
    <t>Ni (battery grade), Co, Cu, REEs for magnets (Nd, Pr, Dy, Tb, Gd, Sm, Ce) [48]</t>
  </si>
  <si>
    <t>SiO2 (11.2–75.0%)
Fe2O3 (2.46–85.3%)
Al2O3 (4.24–19%)
CaO (0.16–31.85%)
Cu (often ~1.11%) [14]</t>
  </si>
  <si>
    <t>Quartz (SiO2​)
Pyrite (FeS2​)
Gypsum (CaSO4.2H2O)
Chlorite
Sanidine
Muscovite
Magnetite
Biotite [14]</t>
  </si>
  <si>
    <t>Si, Fe, Al, Ca, Mg, S, Ti, Cu, Mn [14]</t>
  </si>
  <si>
    <t>Slurry state: fine suspended materials (1–600 μm) in water, dry stack if filtered [4]</t>
  </si>
  <si>
    <t>6.7–10.0: Si–rich [46]
Acidic (when pH drops below 3.5), Acid Mine Drainage (AMD) risk if sulfide–rich</t>
  </si>
  <si>
    <t>40.0 – 60.0%: initial slurry state
7.0 – 9.0%: water absorption capacity [4]</t>
  </si>
  <si>
    <t>Copper pyrometallurgy – Smelting or refining [53,18]</t>
  </si>
  <si>
    <t>Stepwise hydrometallurgical leaching to dissolve Cu, Cd, Zn and traceable precious metals [53]
Slag reduction (Fe and Cu alloy formation) to liberate metal entrapped in silicate phases [33]
Purification of Zn–bearing streams for secondary metal recovery [33]</t>
  </si>
  <si>
    <t>Complex matrix, requires multi–stage processing [53]</t>
  </si>
  <si>
    <t>High value extraction of Au–Ag–Cu [53]</t>
  </si>
  <si>
    <t>Zn compounds, recovery of Cu, Au, Ag [53]</t>
  </si>
  <si>
    <t>As [53]</t>
  </si>
  <si>
    <t>Cu [53]</t>
  </si>
  <si>
    <t>Cu (0.25–20%)
Fe
SiO2 (fayalitic matrix) [53]</t>
  </si>
  <si>
    <t>Fayalite (Fe2​SiO4​)
Magnetite (Fe3​O4​)
Wüstite (FeO) [35]</t>
  </si>
  <si>
    <t>Cu, Zn, Cd, Si, Cd, O, Fe, Au, Ag, Se, Te [53]</t>
  </si>
  <si>
    <t>Solid state: granular slag or ash [53]</t>
  </si>
  <si>
    <t>Part of 2–3 t of solid waste generated from refinning copper which includes slag, ash and slime [53]</t>
  </si>
  <si>
    <t>Alkaline: standard fayalite–type solid residues [53]</t>
  </si>
  <si>
    <t>Low: standard solid metallurgical residue [53]</t>
  </si>
  <si>
    <t>Chalcopyrite (CuFeS2), galena (PbS), sphalerite (ZnS) [7,35,48]</t>
  </si>
  <si>
    <t>Electrorefining – anode slime collection [9,50]</t>
  </si>
  <si>
    <t>Oxidative roasting to break down refractory selenides or tellurides prior to leaching [50]
Sequential leaching to selectively recover Ag, Se, Te, Au, and PGMs [6]
Electrorefining to obtain high–purity Au or Ag and remaining Cu [50]</t>
  </si>
  <si>
    <t>Complex multi–stage refining processes, hazardous Se or Te compounds presence [50,9]</t>
  </si>
  <si>
    <t>Extremely rich in noble metals leading to major economic driver [50,9]</t>
  </si>
  <si>
    <t>Refined Au, Ag, Se, Te, PGMs' concentrates [50,9]</t>
  </si>
  <si>
    <t>As, PGMs [50]</t>
  </si>
  <si>
    <t>PGMs (Pt, Pd, Rh, Ru, Ir), Cu [50]</t>
  </si>
  <si>
    <t>Ag (1–28%)
Au (0.1–1.5%)
PGMs (~70 g/t)
Se, Te, Cu, Pb 
Bulk Cu (10–50 wt%) [50]</t>
  </si>
  <si>
    <t>Naumannite (Ag2​Se)
Hessite (Ag2​Te)
Eucairite (CuAgSe)
Petzite (Ag3​AuSe2​)
PbSO4​ [50]</t>
  </si>
  <si>
    <t>Cu, Ag, Au, Pb, Se, Te, As, Sb, Bi, Ni, PGMs (Pt, Pd, Rh, Ru, Ir) [50]</t>
  </si>
  <si>
    <t>Wet solid or slime state: concentrated residue from electrolytic refining [50]</t>
  </si>
  <si>
    <t>55,000 t/year globally  [50]</t>
  </si>
  <si>
    <t>Acidic: pH 1.75 is optimal for metal recovery) [50]</t>
  </si>
  <si>
    <t>High: wet slime from electrolytic refining required dewatering [50]</t>
  </si>
  <si>
    <t>Sphalerite (ZnS), EAF dust (zincite, franklinite) [48,35]</t>
  </si>
  <si>
    <t>Zn hydrometallurgy, iron removal step [37,7,35]</t>
  </si>
  <si>
    <t>Acidic or alkaline leaching to dissolve Zn and Pb or Ag retained in jarosite or goethite matrix [7]
Thermal conversion to hematite or magnetite to reduce hazardous leachability and improve stability [7]
Stabilisation of toxic elements through phase transformation [8]</t>
  </si>
  <si>
    <t>Hazardous presence of Pb or Cd or Cr, low–metal grade [48]</t>
  </si>
  <si>
    <t>Value addition through hematite or magnetite production [48]</t>
  </si>
  <si>
    <t>Zn, Pb Ag recovery, pigment magnetite [48]</t>
  </si>
  <si>
    <t>As, Sc, V, Sb [44]</t>
  </si>
  <si>
    <t>Ni (battery grade) [44]</t>
  </si>
  <si>
    <t>Typically Zn–leach residues by hydrometallurgical process (Fe, Zn, Pb, S, In, Ag, Au) [50,42]</t>
  </si>
  <si>
    <t>Ammonium jarosite (NH4​Fe3​(SO4​)2​(OH)6​)
Goethite (FeOOH)
Magnetite (Fe3​O4​) [44]</t>
  </si>
  <si>
    <t>Fe, Zn, Pb, S, In, Ag, Au, Cu, As, Cd, Hg, Sb, Ba [35]</t>
  </si>
  <si>
    <t>Wet solid or sludge state: precipitated residue, often presented as filter cake [30]</t>
  </si>
  <si>
    <t>Secondary industrial process waste from Zn/Fe leaching [23]</t>
  </si>
  <si>
    <t>Acidic: sulfate–rich process with precipitate [30]</t>
  </si>
  <si>
    <t>High: precipitate handled as wet filter cake) [30]</t>
  </si>
  <si>
    <t>Galena (PbS), sphalerite (ZnS) [35,40]</t>
  </si>
  <si>
    <t>Waelz kiln treatment – volatile oxide fraction [40,35]</t>
  </si>
  <si>
    <t>Hydrometallurgical purification to. Produce market grade ZnO from Zn–ferrite dust condensates [40]
Volatilisation separation during Waelz kiln processing to isolate Zn and Pb oxide phases [40]</t>
  </si>
  <si>
    <t>Halide contamination, purity control [40,35]</t>
  </si>
  <si>
    <t>Market–ready ZnO product with high purity [40]</t>
  </si>
  <si>
    <t>High–purity ZnO, Pb concentrates [35,40]</t>
  </si>
  <si>
    <t>Zn (highly enriched)
Pb, Cd
Halides (Cl, F) [40]</t>
  </si>
  <si>
    <t>Zincite (ZnO)
Halite (NaCl)
Sylvite (KCl)
Fluorite (CaF2) [35]</t>
  </si>
  <si>
    <t>Zn, Pb, Cd, Cl, F, Na, K, As [40,35]</t>
  </si>
  <si>
    <t>Solid state: crude ZnO fine powder or dust [35]</t>
  </si>
  <si>
    <t>250,000 t/year Zn [40]</t>
  </si>
  <si>
    <t>Alkaline: Crude ZnO–rich powder [35]</t>
  </si>
  <si>
    <t>Low: fine dry crude ZnO powder [35]</t>
  </si>
  <si>
    <t>EAF dust and Zn–bearing scraps [35,40]</t>
  </si>
  <si>
    <t>Waelz kiln treatment – non–volatile slag [40,35]</t>
  </si>
  <si>
    <t>Oxidation roasting to convert unstable sulfide or oxide phases into stable anhydrite or matrix phases [40]
Carbothermic reduction for Fe or Mn recovery from slag matrix [40]
Stabilisation for secondary construction aggregate after detoxification [30]</t>
  </si>
  <si>
    <t>Heave metal leachability, requires stabilisation [40]</t>
  </si>
  <si>
    <t>Economic driver due to Mn and Fe recovery [40]</t>
  </si>
  <si>
    <t>Pig iron, Zn dust, secondary aggregates [40]</t>
  </si>
  <si>
    <t>V, Mn (battery grade) [40]</t>
  </si>
  <si>
    <t>Mn (battery grade) [40]</t>
  </si>
  <si>
    <t>Fe (46.35%)
Ca (14.34%)
C (8.09%)
Mn (7.70%)
Si (5.98%)
Zn (3.64%) [40]</t>
  </si>
  <si>
    <t>Native iron (Fe)
Wüstite (FeO)
Coke (or graphite)
Olivine [40]</t>
  </si>
  <si>
    <t>Fe, Ca, C, Mn, Si, Zn, Mg, Al, S, As, Cd, Cr, Cu, Mo, Ni, Pb, V [40]</t>
  </si>
  <si>
    <t>Solid state: granular or stony clinker [40]</t>
  </si>
  <si>
    <t>~800,000 tons/year in Europe [40]</t>
  </si>
  <si>
    <t>5.60: pH of TCLP extract or leachate [40]</t>
  </si>
  <si>
    <t>Low: solid clinker or stony residue [40]</t>
  </si>
  <si>
    <t>Bauxite (Al(OH)3) and impurities [16,32]</t>
  </si>
  <si>
    <t>Alumina refining (Bayer's process) [49,47,1,32]</t>
  </si>
  <si>
    <t>High–temperature reduction (roasting) for converting Fe and Ti bearing minerals into recoverable phases [49]
Hydrometallurgical leaching for selective extraction of Fe, Al, Ti, Sc and REEs [45, 28]
Magnetic separation to recover magnetite formed during reduction processes [28]
Accelerated carbonation to reduce alkalinity and stabilises reactive species [49]
Geopolymerisation to transform silicate or aluminate phases into cementitious binders [45]</t>
  </si>
  <si>
    <t>High alkalinity, large stockpiles, variable composition [32,47]</t>
  </si>
  <si>
    <t>Major economic opportunity represented by REEs, Sc, Ti [49,47,41]</t>
  </si>
  <si>
    <t>Pig iron, alumina, TiO2, Sc or REE concentrates, SCM, bricks or tiles, pigments, x–ray shielding tiles [32,21]</t>
  </si>
  <si>
    <t>Sc, Al, V, Ta, REEs – LREEs and HREEs (La, Ce, Nd) [32,47]</t>
  </si>
  <si>
    <t>Ti metal, REES for magnets (Nd, Dy, Pr, Ce, Tb, Gd, Sm) [32]</t>
  </si>
  <si>
    <t>Fe2​O3​ (23–60%)
Al2O3 (12–30%)
SiO2​ (5–17%)
TiO2​ (1–11%)
Na2​O (1–10%) [16]</t>
  </si>
  <si>
    <t>Hematite (Fe2​O3​)
Goethite (FeOOH)
Cancrinite (Na6​Ca2​Al6​Si6​O24​(CO3​)2​)
Gibbsite (Al(OH)3)
Diaspore
Boehmite
Perovskite (CaTiO3) [1,47]</t>
  </si>
  <si>
    <t>Fe, Al, Ca, Si, Ti, Na, Sc, V, Ga, Th, U, REEs, Mg, Mn, P, S, C [41,47]</t>
  </si>
  <si>
    <t>Wet solid or sludge state: highly alkaline mud or slurry, dry stacked when thickened [32]</t>
  </si>
  <si>
    <t>1.0–1.6 tonnes / tonne of alumina production [49]
~5 Mt/year global aluminium dross [36]</t>
  </si>
  <si>
    <t>9.0–13.0: Extremely alkaline [32], neutralized using seawater neutralization or carbon dioxide sequestration for safe discharge or construction purposes [36]</t>
  </si>
  <si>
    <t>7.5 wt%: residual moisture present in filter–pressed cake
40.0–60.0%: slurry state [21]</t>
  </si>
  <si>
    <t>Laterites ore (nickeliferous limonite), Pentlandite ((Ni,Fe)9S8) [48,44]</t>
  </si>
  <si>
    <t>Nickel laterite – High pressure acid leaching [48,44]</t>
  </si>
  <si>
    <t>Selective acid or alkali leaching to recover Ni, Co, Sc, and REEs from Fe–oxyhydroxide matrix [48]
Neutralization or precipitation to stabilise dissolved metals and reduce process acidity [21]
Geopolymer formation (alkali activation) for construction applications [21]</t>
  </si>
  <si>
    <t>Sc value dominates the economies [48,41]</t>
  </si>
  <si>
    <t>Sc oxide, ferronickel alloy, geopolymer binders, road base, tiles [41,48]</t>
  </si>
  <si>
    <t>Sc, V [41]</t>
  </si>
  <si>
    <t>Ni (battery grade), Co [48]</t>
  </si>
  <si>
    <t>Iron–oxyhydroxides (Fe ~41.9%) with residual Mg (~1.8%), Al (~2.2%), Ni (~1.2%) and Co (traces) [23]</t>
  </si>
  <si>
    <t>Goethite (FeO(OH))
Hematite (Fe2O3)
Talc
Birnessite
Bayerite (Al(OH)3) [23]</t>
  </si>
  <si>
    <t>Fe, Mg, Al, Ni, Co, Mn, Cr, Si, O [23]</t>
  </si>
  <si>
    <t>Solid or slurry state: fine–grained oxyhydroxide residue [48]</t>
  </si>
  <si>
    <t>Near neutral–alkaline: prior to industrial neutralization) [7]</t>
  </si>
  <si>
    <t>High: handled as wet slurry or neutralized filter cake [48]</t>
  </si>
  <si>
    <t>Chromite concentrates (FeCr2O4) [33,23]</t>
  </si>
  <si>
    <t>FeCr smelting – Submerged arc furnaces [13,23]</t>
  </si>
  <si>
    <t>Alkali roasting to convert Cr into extractable sodium chromate or chromite species [51]
Magnetic separation to recover Fe–rich or Cr–rich spinel fractions [21]
Accelerated carbonation to immobilise Cr(VI) and stabilises the material [51]</t>
  </si>
  <si>
    <t>Cr (III) or Cr (VI) stability, spinel bound Cr [48]</t>
  </si>
  <si>
    <t>Cr (VI) management cost with Cr recovery value [48]</t>
  </si>
  <si>
    <t>Ferrochromite alloy, alkali chromates, aggregates, cementitious filler [48]</t>
  </si>
  <si>
    <t>MgO
Al2O3
SiO2
CaO
Cr (residual spinel) [7,48]</t>
  </si>
  <si>
    <t>Enstatite (FMgSiO3​)
Forsterite (MgF2​SiO4​)
Magnesiochromite (MgCr2​O4​)
Chromite (FeCr2O4) [7,48]</t>
  </si>
  <si>
    <t>Si, Fe, Al, Mg, Ca, Cr, Ti, Mn [48]</t>
  </si>
  <si>
    <t>Solid state: stony or granular aggregate [48]</t>
  </si>
  <si>
    <t>Alkaline: refractory oxide matrix [48]</t>
  </si>
  <si>
    <t>Negligible: refractory solid aggregates [48]</t>
  </si>
  <si>
    <t>Manganese ores (MnO2, Mn3O4) [7,13]</t>
  </si>
  <si>
    <t>FeMn smelting – Submerged arc furnaces [13,23]</t>
  </si>
  <si>
    <t>Acidic leaching to extract Mn from its silicate phases [20]
Roasting to convert Mn–bearing phases into more leachable oxides [44]
Carbonate precipitation to obtain MnCO3 or MnSO4 intermediates [20]</t>
  </si>
  <si>
    <t>Variable mineralogy, Leaching of Mn [13]</t>
  </si>
  <si>
    <t>Mn recovery for battery–grade chemicals [13]</t>
  </si>
  <si>
    <t>Electrolytic Mn metal, MnSO4, MnCO3, SCM [13]</t>
  </si>
  <si>
    <t>Mn (battery grade) [13]</t>
  </si>
  <si>
    <t>MnO
SiO2
CaO
Al2O3
MgO
REEs (traces upto 3370ppm) [13]</t>
  </si>
  <si>
    <t>Mn, Si, Ca, Al, Mg, REEs (La, Ce, Nd, Pr etc.), Fe, Ba, P [13]</t>
  </si>
  <si>
    <t>Solid state: granular or stony aggregate [13]</t>
  </si>
  <si>
    <t>Alkaline: stepwise precipitate process at pH 2.5–5.65 [13]</t>
  </si>
  <si>
    <t>Negligible: solid stony aggregates [13]</t>
  </si>
  <si>
    <t>Quartz (SiO2) + carbon reductant [23]</t>
  </si>
  <si>
    <t>FeSi smelting – Submerged arc furnaces [28,13]</t>
  </si>
  <si>
    <t>Si extraction through hydrometallurgical or thermal treatment [20]
Return to furnace as reductant or silicon source [ 21]
Crushing into graded aggregates for low–value construction filler applications [20]</t>
  </si>
  <si>
    <t>Silica phase variability, entrained metals [23]</t>
  </si>
  <si>
    <t>Limited economic incentives unless viable Si extraction [23]</t>
  </si>
  <si>
    <t>Silicates raw material, aggregates, amorphous Si [23]</t>
  </si>
  <si>
    <t>Si metal [23]</t>
  </si>
  <si>
    <t>SiO2​
CaO
Al2O3
MgO
MnO
Fe–Si alloys [23]</t>
  </si>
  <si>
    <t>Larnite (Ca2SiO4)
Gehlenite (Ca2Al2SiO7)
Calcite
Magnesium oxide [23]</t>
  </si>
  <si>
    <t>Si, Ca, Fe, Al, Mg, Mn [23]</t>
  </si>
  <si>
    <t>Solid state: granular or rocky aggregate [23]</t>
  </si>
  <si>
    <t>Alkaline: dominantdicalcium silicate phases [23]</t>
  </si>
  <si>
    <t>Negligible: solid stony aggregates [23]</t>
  </si>
  <si>
    <t>Scheelite (CaWO4), wolframite ((Fe,Mn)WO4) [25,7]</t>
  </si>
  <si>
    <t>W ore beneficiation – Flotation or gravity concentration [4,25]</t>
  </si>
  <si>
    <t>Selective alkaline or acid leaching to dissolve W–bearing scheelite or wolframite residues [4]
Roasting to break refractory mineral structures and improve leachability [27]
Gravity or flotation beneficiation to obtain concentrated heavy W minerals [42]</t>
  </si>
  <si>
    <t>Refractory phases, low grades [48]</t>
  </si>
  <si>
    <t>Geopolymers, SCM, clinker feed [48]</t>
  </si>
  <si>
    <t>Sn [48]</t>
  </si>
  <si>
    <t>SiO2​ (46.67–53.5%)
Al2​O3​ (16.7–21.1%)
Fe2​O3​ (10–15.5%)
CaO (9.5–29.3%) [14]</t>
  </si>
  <si>
    <t>Quartz (SiO2​)
Muscovite (KAl2​(AlSi3​O10​)(OH)2​)
Clinochlore
Chlorite
Albite
Calcite (CaCO3​)
Amphibole [14]</t>
  </si>
  <si>
    <t>Si, Al, Fe, Ca, W, REEs [14,48]</t>
  </si>
  <si>
    <t>Solid state: fine particulate material or slurry [48]</t>
  </si>
  <si>
    <t>8.0–9.3: typically carbonate–dominated mines [14]</t>
  </si>
  <si>
    <t>40.0–60.0%: typically mining slurry moisture range [14]</t>
  </si>
  <si>
    <t>W smelting – Smelting or reduction [20,48]</t>
  </si>
  <si>
    <t>Hydrometallurgical leaching to extract W from post–smelting oxides [20]
Oxidative roasting to improve W phase solubility [49]</t>
  </si>
  <si>
    <t>Low W content, phase stability limits the extraction process [13]</t>
  </si>
  <si>
    <t>W concentrates, chemical precursors, aggregates [13]</t>
  </si>
  <si>
    <t>V, W [48]</t>
  </si>
  <si>
    <t>Sn [13]</t>
  </si>
  <si>
    <t>Silicate–based slag consisting of W and Ca oxides [19]</t>
  </si>
  <si>
    <t>Scheelite (CaWO4)
Wolframite residues [19]</t>
  </si>
  <si>
    <t>W, Fe, Mn, Si, Ca [19]</t>
  </si>
  <si>
    <t>Solid state: granular or vitrified solid, not ceramic monolith [13]</t>
  </si>
  <si>
    <t>Alkaline [13]</t>
  </si>
  <si>
    <t>Negligible: vetrified solid slag [13]</t>
  </si>
  <si>
    <t>Molybdenite (MoS2) [48]</t>
  </si>
  <si>
    <t>Mo beneficiation – Floatation [4,14]</t>
  </si>
  <si>
    <t>Re–flotation to recover residual MoS2 from fine tailings [4]
Hydrometallurgical leaching to dissolve molybdate species [27, 42]</t>
  </si>
  <si>
    <t>Low Mo grades, issues regarding economic feasibility [48]</t>
  </si>
  <si>
    <t>Cement fillers, refractory ceramics, aggregates [48]</t>
  </si>
  <si>
    <t>SiO2​ (32.1–73.0%)
Al2​O3​ (3.9–13.50%)
Fe2​O3​ (2.3–27.4%)
CaO (3.5–19.0%) [14]</t>
  </si>
  <si>
    <t>Quartz (SiO2​)
Tridymite
Rutile (TiO2​)
Diopside
Pyrite (FeS2​)
Phlogopite [14]</t>
  </si>
  <si>
    <t>Si, Al, Fe, Ca, Mo, S, Ti, Mg, K [14]</t>
  </si>
  <si>
    <t>Near neutral–slightly alkaline [14]</t>
  </si>
  <si>
    <t>40.0–60.0%: typically mining slurry moisture range [48]</t>
  </si>
  <si>
    <t>Oxidative roasting of Mo concentrates [20,48]</t>
  </si>
  <si>
    <t>Controlled oxidative roasting to convert MoS2 to MoO3 [20]
Leaching to produce ammonium molybdate or Mo–bearing solutions [49]</t>
  </si>
  <si>
    <t>Variability in oxidation state, controlled leaching required [7]</t>
  </si>
  <si>
    <t>FeMO, Mo powders, ammonium molybdates [7]</t>
  </si>
  <si>
    <t>Mo (154 mg/kg) in steel slags
Mo (~10%) in roasting/catalyst residues (industrial level) [48]</t>
  </si>
  <si>
    <t>Iron vanadium oxide (FeV2​O4​)
(Mg,Ni)O mixed oxides
Molybdates ((MoO4)2−​) [48,13]</t>
  </si>
  <si>
    <t>Mo, Fe, V, Mg, Ni, Al, S, Co, O [48]</t>
  </si>
  <si>
    <t>Solid state: particulate powder resulting from sulfide roasting process [7]</t>
  </si>
  <si>
    <t>Near–neutral: solid particulate after oxidative roasting [7]</t>
  </si>
  <si>
    <t>Low: solid particulate remaining after oxidative roasting [7]</t>
  </si>
  <si>
    <t>Chromite (FeCr2O4) [48,35,33]</t>
  </si>
  <si>
    <t>Chromite alkaline roasting or chemical processing [48]</t>
  </si>
  <si>
    <t>Cr(VI) chemical reduction to Cr (III) using reductants []
Alkaline roasting to liberate Cr for selective extraction [49]
Selective leching for extraction of Cr and Fe from detoxified material [21]</t>
  </si>
  <si>
    <t>Cr (VI) toxicity hence requires reduction to Cr (III) [33]</t>
  </si>
  <si>
    <t>Cr concentrates, ferrochromate alloy, alkali chromates, detoxificated aggregates [48,33]</t>
  </si>
  <si>
    <t>Fe2O3
MgO
Al2O3
SiO2
Hazardous Cr (VI) [48]</t>
  </si>
  <si>
    <t>Brownmillerite
Hydrocalumite
Ettringite
Chromite spinel [48]</t>
  </si>
  <si>
    <t>Fe, Mg, Al, Si, Cr, Ca, S, O [48]</t>
  </si>
  <si>
    <t>Solid state: typically granular or fine particulate [33]</t>
  </si>
  <si>
    <t>Extremely alkaline: with high Cr (VI) risk in leaching process) [23]</t>
  </si>
  <si>
    <t>Vary: solid waste found in industrial stockpile [33]</t>
  </si>
  <si>
    <t>Pyrolusite (mnO2), rhodochrosite (MnCO3) [5,7,48]</t>
  </si>
  <si>
    <t>Mn beneficiation – tailings [4,25]</t>
  </si>
  <si>
    <t>Acid leaching to dissolve Mn oxides or carbonates [4]
High–gradient magnetic separation to isolate Mn–rich phases [27, 43]</t>
  </si>
  <si>
    <t>Fe or Mn impurities, acid consumption [22]</t>
  </si>
  <si>
    <t>Mn concentrates, soil remediation minerals [24,22]</t>
  </si>
  <si>
    <t>Mn (oxides or carbonates)
SiO2
Al2O3
Fe [48,13]</t>
  </si>
  <si>
    <t>Pyrolusite (MnO2​)
Rhodochrosite (MnCO3​)
Quartz (SiO2​) [48]</t>
  </si>
  <si>
    <t>Mn, Si, Al, Fe, REEs [13]</t>
  </si>
  <si>
    <t>Solid state: fine particulate material or slurry [22]</t>
  </si>
  <si>
    <t>Near neutral–alkaline [22]</t>
  </si>
  <si>
    <t>40.0–60.0%: typically mining slurry moisture range [22]</t>
  </si>
  <si>
    <t>Electrolytic Mn production – residues [48]</t>
  </si>
  <si>
    <t>Neutralization to precipitate metal hydroxides [48]
Oxidation roasting to convert Mn phases into suitable oxide forms [48]</t>
  </si>
  <si>
    <t>High acidity, ammonia content presence [13]</t>
  </si>
  <si>
    <t>Mn2O3, MnSO4 for batteries, fertilizers [13]</t>
  </si>
  <si>
    <t>Mn
Fe
Si
Ca
Al
Mg
sulfates [48]</t>
  </si>
  <si>
    <t>Gypsum (CaSO4​⋅2H2​O)
Quartz (SiO2​)
Jarosite [48]</t>
  </si>
  <si>
    <t>Mn, Fe, Si, Ca, Al, Mg, S, O [48]</t>
  </si>
  <si>
    <t>Wet solid or sludge state: precipitated (acidic) filter cake [13]</t>
  </si>
  <si>
    <t>Included in secondary flow of &gt;8.5 Mt/year [44]</t>
  </si>
  <si>
    <t>Acidic: generated from acidic precipitate sludge from Mn electrolysis [19]</t>
  </si>
  <si>
    <t>High: electrolytic residue handled as wet filter cake [13]</t>
  </si>
  <si>
    <t>Cassiterite (SnO2) [25,7]</t>
  </si>
  <si>
    <t>Sn ore beneficiation – tailings [4,25]</t>
  </si>
  <si>
    <t>Gravity separation to concentrate heavy Sn or Nb or Ta minerals [4]
Froth flotation for selective mineral beneficiation [27]
Acid leaching of Sn or Nb or Ta metals for recovery purposes [42]</t>
  </si>
  <si>
    <t>Complex mineralogy, fine particles [50]</t>
  </si>
  <si>
    <t>Purified Sn, mullite ceramics, Nb or Ta concentrates [50,48]</t>
  </si>
  <si>
    <t>Nb, Ta [48]</t>
  </si>
  <si>
    <t>Sn
SiO2
Al2O3
Fe
Nb, Ta (traces) [48]</t>
  </si>
  <si>
    <t>Quartz (SiO2​)
Cassiterite (SnO2​)
Mica [48]</t>
  </si>
  <si>
    <t>Sn, Si, Al, Fe, Nb, Ta, S [48]</t>
  </si>
  <si>
    <t>Near neutral–slightly alkaline: depends on geological host rock [48]</t>
  </si>
  <si>
    <t>Tin smelting – furnace [20,48]</t>
  </si>
  <si>
    <t>Flux–assisted reduction to recover Sn and associated metals [20]
Carbothermic reduction to extract valuable oxides or minerals [20]</t>
  </si>
  <si>
    <t>Variable metal content, dependant on flux [50]</t>
  </si>
  <si>
    <t>Zn or Mn or Fe recovery, Ta or Nb oxides, Ag refining [50]</t>
  </si>
  <si>
    <t>Ta and Nb oxides
SiO2
CaO
Al2O3
FeO [48]</t>
  </si>
  <si>
    <t>Ta, Nb, Si, S, Al, Fe, Sn [48]</t>
  </si>
  <si>
    <t>Solid state: stony or granular aggregate [50]</t>
  </si>
  <si>
    <t>Alkaline: silicate–glass matrix [50]</t>
  </si>
  <si>
    <t>Low: vitrified silicate solid [48]</t>
  </si>
  <si>
    <t>Cathode materials: NMC (LiNiMnCoO2), LCO (LiCoO2),LFP (LiFePO4) [48,5]</t>
  </si>
  <si>
    <t>LIB recycling – mechanical shredding and thermal treatment [5,48]</t>
  </si>
  <si>
    <t>Acid leaching to extract Li, Co, Ni, Mn into solutions [20]
Pyrometallurgical smelting to obtain alloy intermediate [49]
Direct regeneration (re–lithiation) to restore cathode materials [25]</t>
  </si>
  <si>
    <t>Heterogenous mix, binders inhibit leaching [48]</t>
  </si>
  <si>
    <t>High–purity Li, Co, Ni salts, battery precursor materials [48]</t>
  </si>
  <si>
    <t>Li (battery grade), Co, Ni, Mn (battery grade) [48]</t>
  </si>
  <si>
    <t>Li, Co, Ni (battery grade), Mn (battery grade), Natural graphite [48]</t>
  </si>
  <si>
    <t>Li (2–5%)
Co (5–20%)
Ni (5–20%)
Mn (5–15%)
C–graphite (20–30%) [48]</t>
  </si>
  <si>
    <t>Graphite
Lithium cobalt oxide (LiCoO2​)
Spodumene polymorphs (α,γ,β) [48]</t>
  </si>
  <si>
    <t>Li, Co, Ni, Mn, C, Al, Fe, P, O, Ti, F [48]</t>
  </si>
  <si>
    <t>Solid state: fine powder generated from mechanical shredding of residues [48]</t>
  </si>
  <si>
    <t>Acidic: processed in H2SO4 or HCl for recovery) [48]</t>
  </si>
  <si>
    <t>Low: mechanically shredded dry powder [48]</t>
  </si>
  <si>
    <t>LIB recycling – post–shredding separation [5,48]</t>
  </si>
  <si>
    <t>Electrolyte removal via washing or thermal stripping [20]
Hydrometallurgical processing to dissolve active metals [25]
C purification via calcination or activation process [36]</t>
  </si>
  <si>
    <t>Electrolyte or polymer contamination [48]</t>
  </si>
  <si>
    <t>C anode materials, NaF recovery, SiC [48]</t>
  </si>
  <si>
    <t>Li (battery grade), Mn (battery grade) [48]</t>
  </si>
  <si>
    <t>Li, Co, Ni (battery grade), Mn (battery grade) [48]</t>
  </si>
  <si>
    <t>Pb
Sb
As
Ni
Li
C [48]</t>
  </si>
  <si>
    <t>Metallic lead (Pb)
Metal antimonates
Graphite [48]</t>
  </si>
  <si>
    <t>Pb, Sb, As, Ni, Li, C [48]</t>
  </si>
  <si>
    <t>Wet solid or sludge state: refined battery or electrode processing residues [48]</t>
  </si>
  <si>
    <t>1020.6 t/year (annual campaign cap – Pilot project) [11]</t>
  </si>
  <si>
    <t>Acidic–neutral: secondary refinery residues [48]</t>
  </si>
  <si>
    <t>High: refining residue handled as wet sludge [48]</t>
  </si>
  <si>
    <t>Printed circuit boards (PCBs), electronic components [12,27]</t>
  </si>
  <si>
    <t>E–waste – shredding of smelting feed [20,48,12]</t>
  </si>
  <si>
    <t>Comminution to liberate metal–bearing fractions [20]
Pyrometallurgical smelting to concentrated metals [20]
Hydrometallurgical leaching for metal recovery of Cu, Au, Ag, PGMs [49]</t>
  </si>
  <si>
    <t>High organics present, multi–stage pretreatment required [48,12]</t>
  </si>
  <si>
    <t>Ta, Be, PGMs (Pd) [48]</t>
  </si>
  <si>
    <t>Cu, PGMs (Pt, Pd) [12]</t>
  </si>
  <si>
    <t>Au (0.1–1.5%)
Ag
Pd
Cu
Sn
Pb in solid wt% [50,48]</t>
  </si>
  <si>
    <t>Metallic alloy (Cu– Sn– Pb)
Noble metal particulates (Au, Ag, Pd) [10,48]</t>
  </si>
  <si>
    <t>Au, Ag, Pd, Cu, Sn, Ni, Al, Fe, Si, O [10,48]</t>
  </si>
  <si>
    <t>Solid state: particulate fines or shredded board fragments [12]</t>
  </si>
  <si>
    <t>Acidic: processed in aqua regia or H2SO4) [12]</t>
  </si>
  <si>
    <t>Low: shredded dry metallic particulate [12]</t>
  </si>
  <si>
    <t>E–waste – pyrometallurgical smelting [20,48,12]</t>
  </si>
  <si>
    <t>Re–smelting to improve metal separation [20]
Selective leaching to dissolve valuable metals [20]</t>
  </si>
  <si>
    <t>Halogens or organics contamination [48,12]</t>
  </si>
  <si>
    <t>Cu or PGM recovery, construction material [26]</t>
  </si>
  <si>
    <t>Cu, PGMs [26]</t>
  </si>
  <si>
    <t>Fe
SiO2
Al2O3
Cu (residual)
Other strategic metals [48]</t>
  </si>
  <si>
    <t>Fayalite (Fe2​SiO4​)
Magnetite (Fe3​O4​)
Cu–rich droplets
Spinel [48]</t>
  </si>
  <si>
    <t>Fe, Si, Al, Cu, O, Au, Ag, Pd [48]</t>
  </si>
  <si>
    <t>Solid state: granular, stony, or vitrified or glassy slag [48]</t>
  </si>
  <si>
    <t>Alkaline: silicate–rich fayalithic slag [26]</t>
  </si>
  <si>
    <t>Low: vitrified or stony metallurgical solid slag [26]</t>
  </si>
  <si>
    <t>Cu electrorefining of e–waste [20,50]</t>
  </si>
  <si>
    <t>Roasting to break refractory metal phases [50]
Sequential leaching to extract Au, Ag, PGMs [21]
Electrorefining to obtain high–purity state of metals [50]</t>
  </si>
  <si>
    <t>Complex multi–metal phases [50]</t>
  </si>
  <si>
    <t>Electro–AU, refined Ag, SE or Te products [50]</t>
  </si>
  <si>
    <t>As, Sb [9]</t>
  </si>
  <si>
    <t>PGMs, Cu [50]</t>
  </si>
  <si>
    <t>Cu, Se, Sn, Pb and noble metals [50]</t>
  </si>
  <si>
    <t>Naumannite (Ag2​Se)
Cuprite (Cu2​O)
Anglesite (PbSO4​)
Metallic gold [50]</t>
  </si>
  <si>
    <t>Cu, Se, Sn, Pb, Au, Ag, Pd, Pt, Sb, As [50]</t>
  </si>
  <si>
    <t>Wet solid or slime state: concentrated precious metal residue [50]</t>
  </si>
  <si>
    <t>Acidic: leached in strong mineral acids) [50]</t>
  </si>
  <si>
    <t>High: precious metal residue handled as wet slime [50]</t>
  </si>
  <si>
    <t>Smelting – off–gas cleaning [20,48]</t>
  </si>
  <si>
    <t>Hydrometallurgical volatilization to recover Zn, Pb, Cd, As metals [20]
Stabilization to immobilize hazardous species [20]</t>
  </si>
  <si>
    <t>Volatile toxic metals, stabilization required [30]</t>
  </si>
  <si>
    <t>ZnSO4, ZnO, sponge Cd, Pb residues [48]</t>
  </si>
  <si>
    <t>PGMs [48]</t>
  </si>
  <si>
    <t>Zn (21.6%)
Fe (29.5%)
Si (5.6%)
Pb (1.3%)
CaO (9.3%) [38]</t>
  </si>
  <si>
    <t>Franklinite (ZnFe2​O4​)
Magnetite (Fe3​O4​)
Zincite (ZnO)
Lead oxides (PbO) [38]</t>
  </si>
  <si>
    <t>Zn, Fe, Si, Pb, Ca, O, Cd, Mn, Al, Cu, S, As, C [38]</t>
  </si>
  <si>
    <t>Solid state: ultra–fine powder or baghouse dust particles [48]</t>
  </si>
  <si>
    <t>12.0: aligned withsecondary Pb/Zn dusts [44]</t>
  </si>
  <si>
    <t>Low: dry ultra–fine powder collected in filter system [48]</t>
  </si>
  <si>
    <t>Phosphate rocks (apatite) (Ca5(PO4)3(F,Cl,OH)) [48]</t>
  </si>
  <si>
    <t>Wet process phosphoric acid – gypsum precipitation [48,44]</t>
  </si>
  <si>
    <t>Washing and removing impurities to reduce radionuclides [20]
Stabilization for safe construction material use [49]
REE acid leaching from phosphate– linked minerals [49]</t>
  </si>
  <si>
    <t>Radionuclides (U or Th), impurities presence [44]</t>
  </si>
  <si>
    <t>Cement or wallboard, bricks, soil amendments, REE extraction [44,48]</t>
  </si>
  <si>
    <t>Sc, P [23]</t>
  </si>
  <si>
    <t>REEs for magnets (Nd, Dy, Pr, Ce etc.) [44]</t>
  </si>
  <si>
    <t>CaSO4.2H2O
P2O5 (residual)
REEs (Nd, Pr)
U (traces) [48]</t>
  </si>
  <si>
    <t>Gypsum (CaSO4​⋅2H2​O)
Brushite
REE–phosphates [23,48]</t>
  </si>
  <si>
    <t>Ca, S, O, P, Nd, Pr, U, La, Ce, Y [13,48]</t>
  </si>
  <si>
    <t>Solid state: fine crystalline particulate [44]</t>
  </si>
  <si>
    <t>Acidic: contains residual P2O5 or H3PO4, leached at pH 1 [48]</t>
  </si>
  <si>
    <t>Significant: handled as wet crystalline solid or stackable waste [44]</t>
  </si>
  <si>
    <t>Phosphoric acid plant – filtration sludges [48,44]</t>
  </si>
  <si>
    <t>REE or U leaching to extract the critical minerals [48]
Neutralization to stabilize acidic residues [21]
Geopolymerization as alternative binder feed [48]</t>
  </si>
  <si>
    <t>Metals, organics, acidic in nature [44]</t>
  </si>
  <si>
    <t>Geopolymers, cement, adsorbents, U or REE recovery [44]</t>
  </si>
  <si>
    <t>P [48]</t>
  </si>
  <si>
    <t>P2O5
Al
Fe
Mg
Si [4]</t>
  </si>
  <si>
    <t>Aluminum phosphates
Iron phosphates
Quartz (SiO2​) [54]</t>
  </si>
  <si>
    <t>P, Al, Fe, Mg, Si, O, REEs [48]</t>
  </si>
  <si>
    <t>Wet solid or sludge state: settled phosphoric acid process residue [44]</t>
  </si>
  <si>
    <t>Highly acidic: byproduct of direct H3PO4 process) [48]</t>
  </si>
  <si>
    <t>High: processing residue typically handled as wet sludge [44]</t>
  </si>
  <si>
    <t>Carbonatite ores, ion–adsorption clays, REE (monazite, xenotime) [48,47]</t>
  </si>
  <si>
    <t>REE beneficiation residues [48,16]</t>
  </si>
  <si>
    <t>Acid or alkali roasting to enhance REE solubility [48]
REE leaching from activated minerals [7]
Minerals beneficiation to isolate heavy or light REEs [48]</t>
  </si>
  <si>
    <t>Radioactivity, mineralogical heterogeneity [47]</t>
  </si>
  <si>
    <t>REE concentrates, geopolymer ceramics, Ni or Fe products [14,47]</t>
  </si>
  <si>
    <t>Sc, REEs – LREEs and HREEs (La, Y) [48]</t>
  </si>
  <si>
    <t>REEs for magnets (Nd, Pr, Ce) [47]</t>
  </si>
  <si>
    <t>Nd (0.3%)
Pr (0.13%)
Y, La, Ce [48,25]</t>
  </si>
  <si>
    <t>Nd, Pr, Y, La, Ce, P, O, Th, heavy REEs [47]</t>
  </si>
  <si>
    <t>Solid state: fine particulate or mineralized ore fragments [47]</t>
  </si>
  <si>
    <t>Acidic: potentially as often found in acidic mine waters [47]</t>
  </si>
  <si>
    <t>40.0–60.0%: typically mining slurry moisture range [47]</t>
  </si>
  <si>
    <t>REE or acid process – neutralization [48]</t>
  </si>
  <si>
    <t>Acid leaching to dissolve metals like Ni, Cr, Fe selectively [48]
Precipitation to form pigment–grade magnetite [48]</t>
  </si>
  <si>
    <t>High moisture content, variable REE present [48]</t>
  </si>
  <si>
    <t>Ni or Cr pigments, magnetite [48]</t>
  </si>
  <si>
    <t>Co, Ni (battery grade) [48]</t>
  </si>
  <si>
    <t>Concentrated REE in hyroxides form [48]</t>
  </si>
  <si>
    <t>Light REE hydroxides and carbonates
Perovskite (CaTiO3​) [47]</t>
  </si>
  <si>
    <t>La, Ce, Nd, Y, Pr, Sm, transition metals [48]</t>
  </si>
  <si>
    <t>Wet solid or sludge state: precipitated metal hydroxides [48]</t>
  </si>
  <si>
    <t>7.0–9.5: product is pH adjusted [48]</t>
  </si>
  <si>
    <t>High: effluent treatment product handled as wet filter cake [48]</t>
  </si>
  <si>
    <t>Ilmenite (FeTiO3), rutile (TiO2), monazite, xenotime [47]</t>
  </si>
  <si>
    <t>TiO2 sulfate or chloride digestion residues [48]</t>
  </si>
  <si>
    <t>Acid leaching to extract Ti or Mg or Al [48]
Thermal roasting to liberate REE–bearing phases [37]</t>
  </si>
  <si>
    <t>Sulfate or chloride load, Th or U traces [48]</t>
  </si>
  <si>
    <t>Ti or Mg or Al enriched catalysts, pigments [48]</t>
  </si>
  <si>
    <t>V, Nb [48]</t>
  </si>
  <si>
    <t>Mg(Fe, Al)2O4 (82%)
Free MgO (9%)
Ti, V, Cr (traces) [2]</t>
  </si>
  <si>
    <t>Mg, Fe, Al, O, Ti, V, Cr, Ca, Mn, Na, Si, K [2]</t>
  </si>
  <si>
    <t>Solid state: fine–grained oxide residue, mixed with iron–magnesium oxides [2]</t>
  </si>
  <si>
    <t>Near neutral–alkaline: insoluble Fe–Mg oxide residue) [2]</t>
  </si>
  <si>
    <t>Low: Insoluble dry oxide residue i.e., Mg–Fe oxides [2]</t>
  </si>
  <si>
    <t>Monazite or Xenotime acid digestion residues [48]</t>
  </si>
  <si>
    <t>Leaching to extract remaining residual REEs [48]
Neutralization to stabilize radioactive elements [37]</t>
  </si>
  <si>
    <t>Radioactivity, complex separation chemistry [48]</t>
  </si>
  <si>
    <t>Refined REE oxides, construction fillers [48]</t>
  </si>
  <si>
    <t>Sc, REEs – LREEs and HREEs [13]</t>
  </si>
  <si>
    <t>REEs for magnets [13]</t>
  </si>
  <si>
    <t>Ce2O3 (34–51%)
TiO2 (9–24%)
Fe2O3 (7–23%) [47]</t>
  </si>
  <si>
    <t>Cerium ferrotitanate
Sodalite
Cancrinite [47]</t>
  </si>
  <si>
    <t>Ce, Ti, Fe, Ca, Na, O, La, Pr, Nd, Th, Al, Si [47]</t>
  </si>
  <si>
    <t>Solid state: insoluble particulate residue after acid treatment [13]</t>
  </si>
  <si>
    <t>Alkaline: resulted from concentrated NaOH digestion [13]</t>
  </si>
  <si>
    <t>Low: insoluble dry particulate prior acid treatment [13]</t>
  </si>
  <si>
    <t>Native gold, quartz veins [27,46]</t>
  </si>
  <si>
    <t>Gold extraction – cyanidation (CIL or CIP or Heap leach) [46,4]</t>
  </si>
  <si>
    <t>Detoxification (SO2/air process) to destroy residual cyanide [46]
Thiosulfate or halide releaching to recover remaining Au or Ag metals [23]
Geopolymerization to immobilize residual toxic phases involving alkali activation [23]</t>
  </si>
  <si>
    <t>Cyanide toxicity, AMD risk [46]</t>
  </si>
  <si>
    <t>OPC clinker, geopolymer pavers, residual Au or Ag or Cu recovery [46]</t>
  </si>
  <si>
    <t>Sb, traces of As [46]</t>
  </si>
  <si>
    <t>Cu [46]</t>
  </si>
  <si>
    <t>Fe (27–42%)
SiO2 (24%)
Al2O3 (6%)
Au (5–10 g/t)
residual cyanide [46]</t>
  </si>
  <si>
    <t>Quartz (SiO2​)
Pyrite (FeS2​)
Feldspar
Mica
Hematite
Goethite [46]</t>
  </si>
  <si>
    <t>Fe, Si, Al, Au, C, N, Pb, As, Cr, Ni, Zn, Hg, S, P, Cu [46]</t>
  </si>
  <si>
    <t>Solid state: fine dry particulate or aqueous slurry from leaching process [46]</t>
  </si>
  <si>
    <t>Haveri site: 1.4 Mt
Hutura site; 13.5 Mt [17]</t>
  </si>
  <si>
    <t>10.0–11.0: requires high pH for stabilisation of cyanide) [46]</t>
  </si>
  <si>
    <t>40.0–60.0%: typically gold mining slurry moisture range [46]</t>
  </si>
  <si>
    <t>Refractory ores, sperrylite (PtAs2) [50,46,26]</t>
  </si>
  <si>
    <t>Refractory Au or PGM – pressure oxidation or roasting [46,20]</t>
  </si>
  <si>
    <t>Pressure oxidation or roasting to oxidize sulfides and open mineral structures [46]
Cyanidation or thiourea–leaching for liberated metals [21]
Ar stabilization (Fe–As compounds) for ensuring safe handling [21]</t>
  </si>
  <si>
    <t>High presence of As, requires stabilisation [46]</t>
  </si>
  <si>
    <t>High–purity Au, PGM recovery, FE and S products [46]</t>
  </si>
  <si>
    <t>As [26]</t>
  </si>
  <si>
    <t>PGMs [26]</t>
  </si>
  <si>
    <t>Iron oxides
sulfates
residual Au
As [46]</t>
  </si>
  <si>
    <t>Hematite (Fe2​O3​)
Magnetite (Fe3​O4​)
Calcium sulfate [46]</t>
  </si>
  <si>
    <t>Fe, Au,Ca, As, O, S [46]</t>
  </si>
  <si>
    <t>Solid state: fine particulate powder from refractory ore treatment [46]</t>
  </si>
  <si>
    <t>Acidic: formed from pressure oxidation of refractory sulfides [46]</t>
  </si>
  <si>
    <t>Low: solid particulate powder prior to thermal treatment [46]</t>
  </si>
  <si>
    <t>PGM smelting or converting [26]</t>
  </si>
  <si>
    <t>Collector smelting (Cu–matte) to capture PGMs [26]
Hydrometallurgical leaching for PGMs dissolution [21]</t>
  </si>
  <si>
    <t>Low– grade PGM with complex matrix [26,20]</t>
  </si>
  <si>
    <t>Refined Pd or Pt or Rh concentrates, aggregates [26]</t>
  </si>
  <si>
    <t>PGMs, Mg metal [26]</t>
  </si>
  <si>
    <t>Al2O3
SiO2
MgO
CaO
PGMs – Pt, Pd, Rh (traces) [26]</t>
  </si>
  <si>
    <t>Cordierite (Mg2​Al4​Si5​O18​)
Spinel
Mullite
Glassy phase [26]</t>
  </si>
  <si>
    <t>Al, Si, Mg, Ca, O, Pt, Pd, Rh, Zr, Ce, Fe, Ti, Cr, P, S, Na, Ba [26]</t>
  </si>
  <si>
    <t>Solid state: typically vitrified or glass slag containing trapped metals [26]</t>
  </si>
  <si>
    <t>Alkaline: vitrified silicates or ceramics–based slag [26]</t>
  </si>
  <si>
    <t>Low: vitrified or ceramic–based solid slag [26]</t>
  </si>
  <si>
    <t>Argentite (Ag2S), by–products of PborZnorCu [9,50]</t>
  </si>
  <si>
    <t>Silver or lead electrorefining [50,9]</t>
  </si>
  <si>
    <t>Oxidation roasting to break Se or Te compounds [50]
Sequential leaching to extract Ag, Au, Se, Te [6]
Electrorefining to produce high–purity Ag or Au metals [50]</t>
  </si>
  <si>
    <t>Complex metal matrix, complexity is further added due to Se recovery [50,9]</t>
  </si>
  <si>
    <t>Electro–Au, refined Ag powder, PGM concentrates [50,9]</t>
  </si>
  <si>
    <t>As, Sb [50]</t>
  </si>
  <si>
    <t>PGMs [50]</t>
  </si>
  <si>
    <t>Ag (up to 12.8 wt%)
Au
Pt
Pd
Pb
Sb
As
Cu [50]</t>
  </si>
  <si>
    <t>Metallic silver (Ag)
Ag3Sn [50]</t>
  </si>
  <si>
    <t>Ag, Au, Pt, Pd, Pb, Sb, As, Cu, Zn, Si, O, S, Sn, Bi, Se, Te [50]</t>
  </si>
  <si>
    <t>Wet solid or slime state: concentrated residue from electrolytic residue [50]</t>
  </si>
  <si>
    <t>37.9 kg of Ag/1000 kg of anode slime treated [53]</t>
  </si>
  <si>
    <t>Acidic: derived from sulfate or nitrate refining process [50]</t>
  </si>
  <si>
    <t>High: wet slime collected from electrolytic tanks [50]</t>
  </si>
  <si>
    <t>Sulfide ores (i.e., chalcopyrites, galena, sphalerite) [7,35]</t>
  </si>
  <si>
    <t>Smelter off–gas in H2SO4 plant resulting in gypsum [53,20]</t>
  </si>
  <si>
    <t>Washing and removing of  impurities for reduction in halides or metals present [53]
Solidification to improve mechanical or geo–environmental performance [53]</t>
  </si>
  <si>
    <t>Impurities (Cl or F or heavy metals) affect reuse quality [30]</t>
  </si>
  <si>
    <t>Wallboard, cement clinker, backfill material [20,30]</t>
  </si>
  <si>
    <t>CaSO4.2HO
F
S
heavy metal (traces) [54]</t>
  </si>
  <si>
    <t>Gypsum (CaSO4​⋅2H2​O)
Bassanite (CaSO4​⋅0.5H2​O)
Anhydrite [54]</t>
  </si>
  <si>
    <t>Ca, S, O, H, F, Pb, Cl, Al, Fe, Mg, Si [54]</t>
  </si>
  <si>
    <t>Solid state: crystalline particulate from smelter gas treatment [30]</t>
  </si>
  <si>
    <t>Acidic: sulfide gas treatment byproduct) [30]</t>
  </si>
  <si>
    <t>Low: crystalline dry particulate after industrial drying process [30]</t>
  </si>
  <si>
    <t>SCR emission control, petroleum refining [26,19,48]</t>
  </si>
  <si>
    <t>Spent SCR or DeNOx or hydroprocessing catalysts [19,26]</t>
  </si>
  <si>
    <t>Smelting (wetting or settling technique) for PGM or Ni or V metal recovery [26]
hydrometallurgical leaching of V, Ni, PGMs for selective separation [50]
Catalyst regeneration by removing poisons and re–activating supports [50]</t>
  </si>
  <si>
    <t>V or Ni or As contamination, deactivation mechanisms [19,48]</t>
  </si>
  <si>
    <t>Refined Pd or Pt or Rh, regenerated catalysts [19,26]</t>
  </si>
  <si>
    <t>V, W, Ni (battery grade), PGMs [19]</t>
  </si>
  <si>
    <t>PGMs, Ni (battery grade), Co, Ti metal [19]</t>
  </si>
  <si>
    <t>TiO2 (79.0–85%)
SiO2 (6.65%)
P2O5 (3.6%)
CaO (2.65%)
Al2O3 (1.9%) [19]</t>
  </si>
  <si>
    <t>Anatase or Rutile (TiO2​)
Vanadium oxides
Tungsten oxide (WO3​) [19]</t>
  </si>
  <si>
    <t>Ti, Si, P, Ca, Al, O, S, As, W, V [19]</t>
  </si>
  <si>
    <t>Solid state: fine powder or honeycomb ceramic monoliths [19]</t>
  </si>
  <si>
    <t>&gt; 500,000 tonnes/year from total global SCR generation [19]</t>
  </si>
  <si>
    <t>Acidic: processed in H2SO4 or HCl solutions) [19]</t>
  </si>
  <si>
    <t>Low: dry honeycomb monoliths or mechanically shredded powders [19]</t>
  </si>
  <si>
    <t>Mo recovery is a primary economic leverage for reprocessing in sulfide mineral systems [48]</t>
  </si>
  <si>
    <t>Refined Au, Ag, Pd, secondary Cu or Al alloys [12,48]</t>
  </si>
  <si>
    <t>Presence of high value of V, W, Ni and PGM components make the recycling of catalyst highly profitable [19]</t>
  </si>
  <si>
    <t>Utilised for low-cost construction feedstock for backfill materials and cement manufacturing [54]</t>
  </si>
  <si>
    <t>Recovery of PGMs is highliy valuable and contributes extremely to SRM market [26]</t>
  </si>
  <si>
    <t>Recovery of AU and PGM is highly valuable and using thiosulfate or halide leaching processes is technically feasible [46]</t>
  </si>
  <si>
    <t>Recovery of Au is significant to reduce environmental liability and facilitate in land reclamation [46]</t>
  </si>
  <si>
    <t>Recovery of heavy REEs and Sc provides a key economic opportunity in context of circular economy [47]</t>
  </si>
  <si>
    <t>Potential for REEs extraction is high but the trace elements concentration to a grade suitable for market is considered to be feasible [48]</t>
  </si>
  <si>
    <t>High-value of REEs provides a critical source to the EU supply chain for magnets and renewable energy systems [48]</t>
  </si>
  <si>
    <t>Potential of REEs extraction for specific lanthanides exists but low bulk concentration challenge arises [48]</t>
  </si>
  <si>
    <t>High enrichment of precious metals is one of the most profitable secondary source in the raw material sector [50]</t>
  </si>
  <si>
    <t>Au concentration is high which can boost the profitability of electronic waste recycling [48]</t>
  </si>
  <si>
    <t>Recovery of Co, Ni, Li metals from the refined sludges provide high purity precursors for manufacturing of battery [48]</t>
  </si>
  <si>
    <t>Recovery of Nb and Ta from smelter slags have high value for SRM's market [48]</t>
  </si>
  <si>
    <t>Recovery of Nb and Ta represent high margin value from tailings in Sn-rich deposits [48]</t>
  </si>
  <si>
    <t>Value of Mn recovery is more significant than acidic residue's processing cost (processes like stabilization or neutralization) [48]</t>
  </si>
  <si>
    <t>Potential for significant Mn recovery is advantagous for battery-grade chemicals [48]</t>
  </si>
  <si>
    <t>High cost for detoxitification of Cr (VI) are overpowered by thee high market value of recovered Cr concnetrates [48]</t>
  </si>
  <si>
    <t>Mo recovery from roaster residue provide high economic return rate [48]</t>
  </si>
  <si>
    <t>Possibility of high value of W obtained in  tungsten oxide form through selective hydrometallurgical treatment [48]</t>
  </si>
  <si>
    <t>W recovery is considered to be highily profitable despite low grade as the market demand surpasses it [48]</t>
  </si>
  <si>
    <t>Sc value dominates the economies [48, 41]</t>
  </si>
  <si>
    <t>Major economic opportunity represented by REEs, Sc, Ti [49, 47, 41]</t>
  </si>
  <si>
    <t>High alkalinity, large stockpiles, variable composition [32, 47]</t>
  </si>
  <si>
    <t>High–purity ZnO, Pb concentrates [35, 40]</t>
  </si>
  <si>
    <t>Extremely rich in noble metals leading to major economic driver [50, 9]</t>
  </si>
  <si>
    <t>Complex multi–stage refining processes, hazardous Se or Te compounds presence [50, 9]</t>
  </si>
  <si>
    <t>Refined Au, Ag, Se, Te, PGMs' concentrates [50, 9]</t>
  </si>
  <si>
    <t>Very large volumes generated, mineralogical variability [4, 25]</t>
  </si>
  <si>
    <t>Through reprocessing, large secondary resources are generated [24, 25]</t>
  </si>
  <si>
    <t>Bricks or tiles, geopolymer blocks, fine aggregates, low–C cement, nano–Cu biosynthesis [4, 14, 24]</t>
  </si>
  <si>
    <t>Supplementary Cementitious Material (SCM) or geopolymer usage suitable for lowering the cement cost [23, 6]</t>
  </si>
  <si>
    <t>Major secondary source of Zn globally, advantageous Waelz processing [35, 23]</t>
  </si>
  <si>
    <t>Recovery of alloy elements (Cr or V or Mo)that is economically beneficial [23, 33]</t>
  </si>
  <si>
    <t>Aggregates, Supplementary Cementitious Material (SCM), Cr or V or Mo concentrates, alkali–activated binders [33, 23]</t>
  </si>
  <si>
    <t>Feed for sinter or pellets, Fe powder, anti–corrosion pigments [43, 5]</t>
  </si>
  <si>
    <t>High basicity, free lime expansion potential, potential leaching of Cr or V [38, 23]</t>
  </si>
  <si>
    <t>Aggregates, asphalt and railway ballast, soil conditioning agent, cement clinker raw material [23, 43]</t>
  </si>
  <si>
    <t>Contributes to the construction and cement industries by reducing carbon dioxide emissions and producing a high volume, low cost material [6, 43]</t>
  </si>
  <si>
    <t>75% used for hydraulic binder, aggregates, clinker raw materials, glass ceramics, bricks, silica gel and adsorbents [52, 43]</t>
  </si>
  <si>
    <t>Hematite (Fe2O3), magnetite (Fe3O4), limonite, siderite [43, 52, 23]</t>
  </si>
  <si>
    <t>For EU strategy recovery of Co, Ni, Li metal is priority to achieve a net-zero carbon economy [48]</t>
  </si>
  <si>
    <t>Recovery of precious metals from the slags are major economic drivers for smelter operations [53]</t>
  </si>
  <si>
    <t>Recovery of valuable volatile metal generates significant revenue from off-gas treatment waste [38]</t>
  </si>
  <si>
    <t>Recover of REEs leads to strategic secondary resources along with reduction of waste stream (landfilled) acid sludges [48]</t>
  </si>
  <si>
    <t>Enrichment of Ti, Mg, Al provides high-performance catalysts and binders [48]</t>
  </si>
  <si>
    <t>Recovery of Au and Ag metals in high-purity state is primary byproduct [50]</t>
  </si>
  <si>
    <t>Potential for significant Mn recovery is advantagous for battery–grade chemicals [48]</t>
  </si>
  <si>
    <t>Recovery of Nb and Ta represent high margin value from tailings in Sn–rich deposits [48]</t>
  </si>
  <si>
    <t>For EU strategy recovery of Co, Ni, Li metal is priority to achieve a net–zero carbon economy [48]</t>
  </si>
  <si>
    <t>Recovery of valuable volatile metal generates significant revenue from off–gas treatment waste [38]</t>
  </si>
  <si>
    <t>High–value of REEs provides a critical source to the EU supply chain for magnets and renewable energy systems [48]</t>
  </si>
  <si>
    <t>Enrichment of Ti, Mg, Al provides high–performance catalysts and binders [48]</t>
  </si>
  <si>
    <t>Recovery of Au and Ag metals in high–purity state is primary byproduct [50]</t>
  </si>
  <si>
    <t>Utilised for low–cost construction feedstock for backfill materials and cement manufacturing [54]</t>
  </si>
  <si>
    <t>Scrap steel, direct reduced iron [23, 38]</t>
  </si>
  <si>
    <t>Titaniferous magnetite, vanadinite [23, 51]</t>
  </si>
  <si>
    <t>Chalcopyrite (CuFeS2), bornite (Cu5FeS4) [53, 48]</t>
  </si>
  <si>
    <t>Chalcopyrite (CuFeS2), galena (PbS), sphalerite (ZnS) [7, 35, 48]</t>
  </si>
  <si>
    <t>Sphalerite (ZnS), EAF dust (zincite, franklinite) [48, 35]</t>
  </si>
  <si>
    <t>Galena (PbS), sphalerite (ZnS) [35, 40]</t>
  </si>
  <si>
    <t>EAF dust and Zn–bearing scraps [35, 40]</t>
  </si>
  <si>
    <t>Bauxite (Al(OH)3) and impurities [16, 32]</t>
  </si>
  <si>
    <t>Laterites ore (nickeliferous limonite), Pentlandite ((Ni,Fe)9S8) [48, 44]</t>
  </si>
  <si>
    <t>Chromite concentrates (FeCr2O4) [33, 23]</t>
  </si>
  <si>
    <t>Manganese ores (MnO2, Mn3O4) [7, 13]</t>
  </si>
  <si>
    <t>Quartz (SiO2) and carbon reductant [23]</t>
  </si>
  <si>
    <t>Scheelite (CaWO4), wolframite ((Fe,Mn)WO4) [25, 7]</t>
  </si>
  <si>
    <t>Chromite (FeCr2O4) [48, 35, 33]</t>
  </si>
  <si>
    <t>Pyrolusite (mnO2), rhodochrosite (MnCO3) [5, 7, 48]</t>
  </si>
  <si>
    <t>Cassiterite (SnO2) [25, 7]</t>
  </si>
  <si>
    <t>Cathode materials: NMC (LiNiMnCoO2), LCO (LiCoO2),LFP (LiFePO4) [48, 5]</t>
  </si>
  <si>
    <t>Printed circuit boards (PCBs), electronic components [12, 27]</t>
  </si>
  <si>
    <t>Carbonatite ores, ion–adsorption clays, REE (monazite, xenotime) [48, 47]</t>
  </si>
  <si>
    <t>Native gold, quartz veins [27, 46]</t>
  </si>
  <si>
    <t>Refractory ores, sperrylite (PtAs2) [50, 46, 26]</t>
  </si>
  <si>
    <t>Sulfide ores (i.e., chalcopyrites, galena, sphalerite) [7, 35]</t>
  </si>
  <si>
    <t>SCR emission control, petroleum refining [26, 19, 48]</t>
  </si>
  <si>
    <t>Spent SCR or DeNOx or hydroprocessing catalysts [19, 26]</t>
  </si>
  <si>
    <t>Wallboard, cement clinker, backfill material [20, 30]</t>
  </si>
  <si>
    <t>Refined Pd or Pt or Rh, regenerated catalysts [19, 26]</t>
  </si>
  <si>
    <t>Electro–Au, refined Ag powder, PGM concentrates [50, 9]</t>
  </si>
  <si>
    <t>Complex metal matrix, complexity is further added due to Se recovery [50, 9]</t>
  </si>
  <si>
    <t>Low– grade PGM with complex matrix [26, 20]</t>
  </si>
  <si>
    <t>Smelter off–gas in H2SO4 plant resulting in gypsum [53, 20]</t>
  </si>
  <si>
    <t>Silver or lead electrorefining [50, 9]</t>
  </si>
  <si>
    <t>Refractory Au or PGM – pressure oxidation or roasting [46, 20]</t>
  </si>
  <si>
    <t>Gold extraction – cyanidation (Carbon–in–leach (CIL) or Carbon–In–Pulp (CIP) or Heap leach) [46, 4]</t>
  </si>
  <si>
    <t>REE beneficiation residues [48, 16]</t>
  </si>
  <si>
    <t>Phosphoric acid plant – filtration sludges [48, 44]</t>
  </si>
  <si>
    <t>Wet process phosphoric acid – gypsum precipitation [48, 44]</t>
  </si>
  <si>
    <t>Smelting – off–gas cleaning [20, 48]</t>
  </si>
  <si>
    <t>Cu electrorefining of e–waste [20, 50]</t>
  </si>
  <si>
    <t>E–waste – pyrometallurgical smelting [20, 48, 12]</t>
  </si>
  <si>
    <t>E–waste – shredding of smelting feed [20, 48, 12]</t>
  </si>
  <si>
    <t>LIB recycling – post–shredding separation [5, 48]</t>
  </si>
  <si>
    <t>LIB recycling – mechanical shredding and thermal treatment [5, 48]</t>
  </si>
  <si>
    <t>Tin smelting – furnace [20, 48]</t>
  </si>
  <si>
    <t>Sn ore beneficiation – tailings [4, 25]</t>
  </si>
  <si>
    <t>Mn beneficiation – tailings [4, 25]</t>
  </si>
  <si>
    <t>Oxidative roasting of Mo concentrates [20, 48]</t>
  </si>
  <si>
    <t>Alumina refining (Bayer's process) [49, 47, 1, 32]</t>
  </si>
  <si>
    <t>Waelz kiln treatment – non–volatile slag [40, 35]</t>
  </si>
  <si>
    <t>Waelz kiln treatment – volatile oxide fraction [40, 35]</t>
  </si>
  <si>
    <t>Zn hydrometallurgy, iron removal step [37, 7, 35]</t>
  </si>
  <si>
    <t>Electrorefining – anode slime collection [9, 50]</t>
  </si>
  <si>
    <t>EAF off–gas cleaning – baghouse or Electrostatic Precipitator (ESP) dust [37, 7]</t>
  </si>
  <si>
    <t>Electric Arc Furnace (EAF) steelmaking process [7, 52]</t>
  </si>
  <si>
    <t>Surface oxidation during hot rolling of steel [43, 7]</t>
  </si>
  <si>
    <t>Off–gas cleaning system or water scrubbing during Blast furnace (BF) or Basic Oxygen Furnace (BOF) operations [10, 7, 35]</t>
  </si>
  <si>
    <t>Steelmaking through Basic Oxygen Furnace (BOF) or Linz–Donawitz (LD) processes [52, 38, 43]</t>
  </si>
  <si>
    <t>Halide contamination, purity control [40, 35]</t>
  </si>
  <si>
    <t>High acidity, hazardous classification, presence of various metals [7, 30]</t>
  </si>
  <si>
    <t>Sc, Al, V, Ta, REEs – LREEs and HREEs (La, Ce, Nd) [32, 47]</t>
  </si>
  <si>
    <t>Hematite (Fe2​O3​)
Goethite (FeOOH)
Cancrinite (Na6​Ca2​Al6​Si6​O24​(CO3​)2​)
Gibbsite (Al(OH)3)
Diaspore
Boehmite
Perovskite (CaTiO3) [1, 47]</t>
  </si>
  <si>
    <t>Fe, Al, Ca, Si, Ti, Na, Sc, V, Ga, Th, U, REEs, Mg, Mn, P, S, C [41, 47]</t>
  </si>
  <si>
    <t>Cr concentrates, ferrochromate alloy, alkali chromates, detoxificated aggregates [48, 33]</t>
  </si>
  <si>
    <t>Mn concentrates, soil remediation minerals [24, 22]</t>
  </si>
  <si>
    <t>Purified Sn, mullite ceramics, Nb or Ta concentrates [50, 48]</t>
  </si>
  <si>
    <t>High organics present, multi–stage pretreatment required [48, 12]</t>
  </si>
  <si>
    <t>Refined Au, Ag, Pd, secondary Cu or Al alloys [12, 48]</t>
  </si>
  <si>
    <t>Halogens or organics contamination [48, 12]</t>
  </si>
  <si>
    <t>Cement or wallboard, bricks, soil amendments, REE extraction [44, 48]</t>
  </si>
  <si>
    <t>REE concentrates, geopolymer ceramics, Ni or Fe products [14, 47]</t>
  </si>
  <si>
    <t>V or Ni or As contamination, deactivation mechanisms [19, 48]</t>
  </si>
  <si>
    <t>Gypsum (CaSO4​⋅2H2​O)
Brushite
REE–phosphates [23, 48]</t>
  </si>
  <si>
    <t>Iron vanadium oxide (FeV2​O4​)
(Mg,Ni)O mixed oxides
Molybdates ((MoO4)2−​) [48, 13]</t>
  </si>
  <si>
    <t>Enstatite (FMgSiO3​)
Forsterite (MgF2​SiO4​)
Magnesiochromite (MgCr2​O4​)
Chromite (FeCr2O4) [7, 48]</t>
  </si>
  <si>
    <t>Waelz kiln volatilization process to produce ZnO fume [40]
Hydrometallurgical leaching through acid or alkali [8, 11]
Chloride removal or dechlorination [8]
Agglomeration and reduction for Fe recovery [11]</t>
  </si>
  <si>
    <t>Metal recovery of Cr or Ni or Mo through magnetic or density separation [17]
Free–lime stabilization via aging process [17]
Carbonation for immobilisation of heavy–metals [38]
Thermal or chemical activation for Supplementary Cementitious Material (SCM) use [46, 18]</t>
  </si>
  <si>
    <t>Oxidation roasting (Na2CO3 or CaO) to convert V–bearing phases into soluble vandates for efficient extraction [51]
Selective leaching to dissolve V species and separate recoverable V5+ from the Fe–rich residue [51]
Dust recirculation in BOF or EAF units to recover Fe and reduce waste generation [51]
Magnetic separation to isolate Fe–rich material from V–enriched oxides before or after roasting [51]
Secondary smelting to concentrate V in the slag phase while producing recyclable metallic Fe [51]
Stabilization of fine V bearing particulates during off–gas dust cleaning to ensure safe handling [51]</t>
  </si>
  <si>
    <t>Wet or air granulation to form glassy slag, produces latent hydraulic reactivity [43]
Mechanical activation (i.e., grinding) to produce Supplementary Cementitious Material (SCM)  [38, 46]
Accelerated carbonation with carbon dioxide sequestration leading to stabilization of reactive Ca phases [38]
Thermal treatment for inducing crystallisation process for glass ceramics applications [43]
Crushing and screening for aggregate production [43]</t>
  </si>
  <si>
    <t>Weathering (aging) for reduction of volume expansion and stabilization of free lime [23]
Metal recovery of iron (mainly) through magnetic separation [46]
Accelerated carbonation for immobilisation of Cr and V to improve durability [38, 17]
Crushing and grading for construction materials use [46]
Hot–stage modification during tapping to adjust basicity and add flux to control chemical composition [23]</t>
  </si>
  <si>
    <t>Aging to complete y–C2S (gamma–dicalcium silicate) transformation for preventing dust and stabilising expansion [17]
Crushing and sieving for soil–stabilization feedstock used in cementitious applications [46]
Mechanical activation (i.e., milling) of Supplementary Cementitious Material (SCM) or geopolymer to increase reactivity by fine grinding [38, 46]</t>
  </si>
  <si>
    <t>Quicklime subsitute, soil stabilization, Supplementary Cementitious Material (SCM) or geopolymers [52, 23]</t>
  </si>
  <si>
    <t>Heave metal leachability, requires stabilization [40]</t>
  </si>
  <si>
    <t>High presence of As, requires stabilization [46]</t>
  </si>
  <si>
    <t>Hydrometallurgical leaching like acid or alkali, to dissolve Zn and Pb or As or Sb selectivity from oxide mixture [53,20]
Volatilisation in fuming furnaces to separate volatile metals from residue [21]
Stabilization or solidification to immobilise hazardous elements for safe handling [21]</t>
  </si>
  <si>
    <t>Acidic or alkaline leaching to dissolve Zn and Pb or Ag retained in jarosite or goethite matrix [7]
Thermal conversion to hematite or magnetite to reduce hazardous leachability and improve stability [7]
Stabilization of toxic elements through phase transformation [8]</t>
  </si>
  <si>
    <t>Oxidation roasting to convert unstable sulfide or oxide phases into stable anhydrite or matrix phases [40]
Carbothermic reduction for Fe or Mn recovery from slag matrix [40]
Stabilization for secondary construction aggregate after detoxification [30]</t>
  </si>
  <si>
    <t>5.60: pH of TCLP (Toxicity Characteristics Leaching Procedure) extract or leachate [40]</t>
  </si>
  <si>
    <t>Alkaline: dominant dicalcium silicate phases [23]</t>
  </si>
  <si>
    <t>10.0–11.0: requires high pH for stabilization of cyanide [46]</t>
  </si>
  <si>
    <t>Acidic: sulfide gas treatment byproduct [30]</t>
  </si>
  <si>
    <t>Acidic: processed in H2SO4 or HCl solutions [19]</t>
  </si>
  <si>
    <t>Solid state: fine powder or honeycomb–ceramic monoliths [19]</t>
  </si>
  <si>
    <t>Solid state: granular or vitrified solid [13]</t>
  </si>
  <si>
    <t>10–30 kg/t Liquid Steel (LS) (average of 20 kg/t) [38]</t>
  </si>
  <si>
    <t>10–80 kg/t Liquid Steel (LS) (average of 45 kg/t) [38]</t>
  </si>
  <si>
    <t>60–270 kg/t Liquid Steel (LS) (average of 165 kg/t) [38]</t>
  </si>
  <si>
    <t>2–8 kg/t Liquid Steel (LS) (average of 5 kg/t) [38]</t>
  </si>
  <si>
    <t>BF: 2–22 kg/t Hot Metal (HM) (average of 12 kg/t)
BOF: 15–16 kg/t Liquid Steel (LS) [38]</t>
  </si>
  <si>
    <t>85–165 kg/t Liquid Steel (LS) (average of 125 kg/t) [38]</t>
  </si>
  <si>
    <t>150–347 kg/t Hot Metal (HM) (average of 249 kg/t) [38]</t>
  </si>
  <si>
    <t>Copper pyrometallurgy – matte smelting or converting [18, 53, 45]</t>
  </si>
  <si>
    <t>Off–gas cleaning – roasters or smelters or converters [53, 30]</t>
  </si>
  <si>
    <t>Secondary steel refining – Ladle Furnace (LF) [52, 23, 43]</t>
  </si>
  <si>
    <t>Stainless steelmaking – EAF or Ladle Furnace (LF) [17, 7]</t>
  </si>
  <si>
    <t>Ironmaking – Blast Furnace (BF) [10, 7, 52]</t>
  </si>
  <si>
    <t>Beneficiation – flotation or gravity or magnetic separation [24, 4, 25]</t>
  </si>
  <si>
    <t>Copper pyrometallurgy – smelting or refining [53, 18]</t>
  </si>
  <si>
    <t>Nickel laterite – High Pressure Acid Leaching (HPAL) [48, 44]</t>
  </si>
  <si>
    <t>FeCr smelting – submerged arc furnaces [13, 23]</t>
  </si>
  <si>
    <t>FeMn smelting – submerged arc furnaces [13, 23]</t>
  </si>
  <si>
    <t>FeSi smelting – submerged arc furnaces [28, 13]</t>
  </si>
  <si>
    <t>W ore beneficiation – flotation or gravity concentration [4, 25]</t>
  </si>
  <si>
    <t>W smelting – smelting or reduction [20, 48]</t>
  </si>
  <si>
    <t>Mo beneficiation – flotation [4, 14]</t>
  </si>
  <si>
    <t>Smelting (wetting or settling technique) for PGM or Ni or V metal recovery [26]
Hydrometallurgical leaching of V, Ni, PGMs for selective separation [50]
Catalyst regeneration by removing poisons and re–activating supports [50]</t>
  </si>
  <si>
    <t>Washing and removing impurities to reduce radionuclides [20]
Stabilization for safe construction material use [49]
REE acid leaching from phosphate–linked minerals [49]</t>
  </si>
  <si>
    <t>Alkali roasting to convert Cr into extractable sodium chromate or chromite species [51]
Magnetic separation to recover Fe–rich or Cr–rich spinel fractions [21]
Accelerated carbonation to immobilize Cr(VI) and stabilizes the material [51]</t>
  </si>
  <si>
    <t>Selective acid or alkali leaching to recover Ni, Co, Sc, and REEs from Fe–oxyhydroxide matrix [48]
Neutralization or precipitation to stabilize dissolved metals and reduce process acidity [21]
Geopolymer formation (alkali activation) for construction applications [21]</t>
  </si>
  <si>
    <t>Supplementary Cementitious Material (SCM), inorganic polymer binders, aggregates, blasting media, metal recovery of Cu, Fe, Au, Ag, PGMs [18, 45]</t>
  </si>
  <si>
    <t>Pig iron, alumina, TiO2, Sc or REE concentrates, Supplementary Cementitious Material (SCM), bricks or tiles, pigments, x–ray shielding tiles [32, 21]</t>
  </si>
  <si>
    <t>Electrolytic Mn metal, MnSO4, MnCO3, Supplementary Cementitious Material (SCM) [13]</t>
  </si>
  <si>
    <t>Geopolymers, Supplementary Cementitious Material (SCM), clinker feed [48]</t>
  </si>
  <si>
    <t>Alkaline: high moisture with high buffering capacity due to  9.0–10.6% of CaO content [10]</t>
  </si>
  <si>
    <t>Generated as a minor byproduct [7]</t>
  </si>
  <si>
    <t>Magnetic separation to recover entrained metallic phases [33,23]
Carbonation to avoid Cr(VI) formation [17, 38]
Mechanical activation (Grinding) to enhance cementitious applications [38, 46]
Hot–stage foaming or slag formation for controlling FeO content [15]</t>
  </si>
  <si>
    <t>High metal droplets, variable composition, Cr(VI) risk [33, 23]</t>
  </si>
  <si>
    <t>Cr(VI) management cost with Cr recovery value [48]</t>
  </si>
  <si>
    <t>High cost for detoxitification of Cr(VI) are overpowered by thee high market value of recovered Cr concnetrates [48]</t>
  </si>
  <si>
    <t>Fe2O3
MgO
Al2O3
SiO2
Hazardous Cr(VI) [48]</t>
  </si>
  <si>
    <t>Extremely alkaline: with high Cr(VI) risk in leaching process [23]</t>
  </si>
  <si>
    <t>Hazardous presence of Pb, Cd or+F8 Cr, fine particles, Cl contamination [7, 35]</t>
  </si>
  <si>
    <t>Metallic revert material, Precipitated Calcium Carbonate (PCC), geopolymers, aggregates [23]</t>
  </si>
  <si>
    <t>6.7–10.0: due to Si–rich matrix [46]
Acidic (when pH drops below 3.5), Acid Mine Drainage (AMD) risk if sulfide–rich</t>
  </si>
  <si>
    <t>40.0–60.0%: initial slurry state
7.0–9.0%: water absorption capacity [4]</t>
  </si>
  <si>
    <t>1020.6 t/year (annual campaign – Pilot project) [11]</t>
  </si>
  <si>
    <t>Hazardous presence of Pb, Cd or Cr, low metal grade [48]</t>
  </si>
  <si>
    <t>Cr(III) or Cr(VI) stability, spinel bound Cr [48]</t>
  </si>
  <si>
    <t>Cr(VI) chemical reduction to Cr(III) using reductants []
Alkaline roasting to liberate Cr for selective extraction [49]
Selective leching for extraction of Cr and Fe from detoxified material [21]</t>
  </si>
  <si>
    <t>Cr(VI) toxicity hence requires reduction to Cr(III) [33]</t>
  </si>
  <si>
    <t>Acidic: approximately pH 1.75 is optimal for metal recovery) [50]</t>
  </si>
  <si>
    <t>Alkaline: stepwise precipitate process at pH 2.5–5.65 approximately [13]</t>
  </si>
  <si>
    <t>Acidic: due to residual P2O5 or H3PO4 content as it is leached at pH 1 approximately [48]</t>
  </si>
  <si>
    <t>Argentite (Ag2S), byproducts of PborZnorCu [9, 50]</t>
  </si>
  <si>
    <t>Year of Publication</t>
  </si>
  <si>
    <t>Heading of the Literature Paper</t>
  </si>
  <si>
    <t>Word document mapping for reference</t>
  </si>
  <si>
    <t>Excel mapping for references</t>
  </si>
  <si>
    <t>fe, iron</t>
  </si>
  <si>
    <t>cu, copper</t>
  </si>
  <si>
    <t>zn, zinc</t>
  </si>
  <si>
    <t>pb, lead</t>
  </si>
  <si>
    <t>al, aluminum, aluminium</t>
  </si>
  <si>
    <t>mn, manganese</t>
  </si>
  <si>
    <t>sn, tin</t>
  </si>
  <si>
    <t>li, lithium</t>
  </si>
  <si>
    <t>co, cobalt</t>
  </si>
  <si>
    <t>ni, nickel</t>
  </si>
  <si>
    <t>v, vanadium</t>
  </si>
  <si>
    <t>ree, rees, rare</t>
  </si>
  <si>
    <t>sc, scandium</t>
  </si>
  <si>
    <t>nb, ta, niobium, tantalum</t>
  </si>
  <si>
    <t>mo, molybdenum</t>
  </si>
  <si>
    <t>w, tungsten</t>
  </si>
  <si>
    <t>ti, titanium</t>
  </si>
  <si>
    <t>cr, chromium</t>
  </si>
  <si>
    <t>au, gold</t>
  </si>
  <si>
    <t>ag, silver</t>
  </si>
  <si>
    <t>pgm, pgms</t>
  </si>
  <si>
    <t>as, arsenic</t>
  </si>
  <si>
    <t>cd, cadmium</t>
  </si>
  <si>
    <t>cl, chlorine</t>
  </si>
  <si>
    <t>cao, calcium</t>
  </si>
  <si>
    <t>Keywords Checked in Python Code</t>
  </si>
  <si>
    <t>s, sulfur, sulfide</t>
  </si>
  <si>
    <t>Battery &amp; E-waste Residues</t>
  </si>
  <si>
    <t>COLOR–CODING LOGIC FOR DATABASE</t>
  </si>
  <si>
    <t>Phosphate &amp; REE By–Products</t>
  </si>
  <si>
    <t>Precious Metals By–Products</t>
  </si>
  <si>
    <t>Miscellanous By–Products</t>
  </si>
  <si>
    <t>Specialty Metals By–Products</t>
  </si>
  <si>
    <t>Ferroalloy By–Products</t>
  </si>
  <si>
    <t>Nickel By–Products</t>
  </si>
  <si>
    <t>Aluminium By–Products</t>
  </si>
  <si>
    <t>Zinc-Lead By–Products</t>
  </si>
  <si>
    <t>Copper By–Products</t>
  </si>
  <si>
    <t>Iron &amp; Steel By–Products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</si>
</sst>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3"/>
      <color rgb="FF141413"/>
      <name val="Helvetica"/>
      <family val="2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3"/>
      <color rgb="FF141413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vertical="top" wrapText="1"/>
    </xf>
    <xf numFmtId="0" fontId="0" fillId="5" borderId="5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vertical="top" wrapText="1"/>
    </xf>
    <xf numFmtId="0" fontId="0" fillId="6" borderId="5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10" borderId="4" xfId="0" applyFill="1" applyBorder="1" applyAlignment="1">
      <alignment vertical="top" wrapText="1"/>
    </xf>
    <xf numFmtId="0" fontId="0" fillId="10" borderId="4" xfId="0" applyFill="1" applyBorder="1" applyAlignment="1">
      <alignment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4" xfId="0" applyFill="1" applyBorder="1" applyAlignment="1">
      <alignment vertical="top" wrapText="1"/>
    </xf>
    <xf numFmtId="0" fontId="0" fillId="11" borderId="4" xfId="0" applyFill="1" applyBorder="1" applyAlignment="1">
      <alignment horizontal="left" vertical="top" wrapText="1"/>
    </xf>
    <xf numFmtId="0" fontId="0" fillId="11" borderId="4" xfId="0" applyFill="1" applyBorder="1" applyAlignment="1">
      <alignment vertical="top" wrapText="1"/>
    </xf>
    <xf numFmtId="0" fontId="0" fillId="11" borderId="4" xfId="0" applyFill="1" applyBorder="1" applyAlignment="1">
      <alignment horizontal="left" vertical="center" wrapText="1"/>
    </xf>
    <xf numFmtId="0" fontId="0" fillId="12" borderId="5" xfId="0" applyFill="1" applyBorder="1" applyAlignment="1">
      <alignment horizontal="left" vertical="center" wrapText="1"/>
    </xf>
    <xf numFmtId="0" fontId="0" fillId="12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vertical="top" wrapText="1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11" borderId="5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5" fillId="11" borderId="0" xfId="0" applyFont="1" applyFill="1" applyAlignment="1">
      <alignment vertical="center"/>
    </xf>
    <xf numFmtId="0" fontId="0" fillId="11" borderId="0" xfId="0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/>
    <xf numFmtId="0" fontId="0" fillId="0" borderId="6" xfId="0" applyBorder="1"/>
    <xf numFmtId="0" fontId="2" fillId="0" borderId="0" xfId="1" applyAlignment="1"/>
    <xf numFmtId="0" fontId="0" fillId="11" borderId="0" xfId="0" applyFill="1"/>
    <xf numFmtId="0" fontId="4" fillId="0" borderId="0" xfId="0" applyFont="1"/>
    <xf numFmtId="0" fontId="0" fillId="0" borderId="5" xfId="0" applyBorder="1" applyAlignment="1">
      <alignment vertical="center" wrapText="1"/>
    </xf>
    <xf numFmtId="0" fontId="0" fillId="11" borderId="5" xfId="0" applyFill="1" applyBorder="1" applyAlignment="1">
      <alignment vertical="center" wrapText="1"/>
    </xf>
    <xf numFmtId="0" fontId="0" fillId="12" borderId="5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10" borderId="5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/>
    <xf numFmtId="0" fontId="3" fillId="0" borderId="1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applyFill="1"/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10" fillId="0" borderId="4" xfId="0" applyFont="1" applyBorder="1"/>
    <xf numFmtId="0" fontId="7" fillId="0" borderId="4" xfId="0" applyFont="1" applyBorder="1" applyAlignment="1">
      <alignment wrapText="1"/>
    </xf>
    <xf numFmtId="0" fontId="8" fillId="0" borderId="4" xfId="1" applyFont="1" applyBorder="1" applyAlignment="1">
      <alignment wrapText="1"/>
    </xf>
    <xf numFmtId="0" fontId="7" fillId="0" borderId="4" xfId="0" applyFont="1" applyFill="1" applyBorder="1" applyAlignment="1">
      <alignment horizontal="center"/>
    </xf>
    <xf numFmtId="0" fontId="7" fillId="0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6" fillId="0" borderId="0" xfId="0" applyFont="1" applyAlignment="1">
      <alignment wrapText="1"/>
    </xf>
    <xf numFmtId="0" fontId="11" fillId="3" borderId="14" xfId="0" applyFont="1" applyFill="1" applyBorder="1" applyAlignment="1">
      <alignment horizontal="left" vertical="center" wrapText="1"/>
    </xf>
    <xf numFmtId="0" fontId="11" fillId="5" borderId="15" xfId="0" applyFont="1" applyFill="1" applyBorder="1" applyAlignment="1">
      <alignment horizontal="left" vertical="center" wrapText="1"/>
    </xf>
    <xf numFmtId="0" fontId="11" fillId="6" borderId="15" xfId="0" applyFont="1" applyFill="1" applyBorder="1" applyAlignment="1">
      <alignment horizontal="left" vertical="center" wrapText="1"/>
    </xf>
    <xf numFmtId="0" fontId="11" fillId="7" borderId="15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10" borderId="15" xfId="0" applyFont="1" applyFill="1" applyBorder="1" applyAlignment="1">
      <alignment horizontal="left" vertical="center" wrapText="1"/>
    </xf>
    <xf numFmtId="0" fontId="11" fillId="4" borderId="15" xfId="0" applyFont="1" applyFill="1" applyBorder="1" applyAlignment="1">
      <alignment horizontal="left" vertical="center" wrapText="1"/>
    </xf>
    <xf numFmtId="0" fontId="11" fillId="11" borderId="15" xfId="0" applyFont="1" applyFill="1" applyBorder="1" applyAlignment="1">
      <alignment horizontal="left" vertical="center" wrapText="1"/>
    </xf>
    <xf numFmtId="0" fontId="11" fillId="12" borderId="16" xfId="0" applyFont="1" applyFill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0" xfId="0" applyFont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dpi.com/1996-1944/15/23/8423" TargetMode="External"/><Relationship Id="rId1" Type="http://schemas.openxmlformats.org/officeDocument/2006/relationships/hyperlink" Target="https://www.researchgate.net/publication/380052697_Accelerated_Carbonation_of_Steel_Slag_and_Their_Valorisation_in_Cement_Products_A_Review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esearchgate.net/publication/380052697_Accelerated_Carbonation_of_Steel_Slag_and_Their_Valorisation_in_Cement_Products_A_Review" TargetMode="External"/><Relationship Id="rId1" Type="http://schemas.openxmlformats.org/officeDocument/2006/relationships/hyperlink" Target="https://www.mdpi.com/1996-1944/15/23/8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5C55-88F3-774C-B9CB-2876D38AA2A0}">
  <dimension ref="A1:Q53"/>
  <sheetViews>
    <sheetView topLeftCell="O1" workbookViewId="0">
      <selection activeCell="B48" sqref="B48"/>
    </sheetView>
  </sheetViews>
  <sheetFormatPr baseColWidth="10" defaultRowHeight="16" x14ac:dyDescent="0.2"/>
  <cols>
    <col min="1" max="1" width="21.33203125" style="28" customWidth="1"/>
    <col min="2" max="17" width="32.83203125" style="28" customWidth="1"/>
  </cols>
  <sheetData>
    <row r="1" spans="1:17" ht="40" x14ac:dyDescent="0.2">
      <c r="A1" s="1" t="s">
        <v>224</v>
      </c>
      <c r="B1" s="2" t="s">
        <v>212</v>
      </c>
      <c r="C1" s="2" t="s">
        <v>638</v>
      </c>
      <c r="D1" s="2" t="s">
        <v>211</v>
      </c>
      <c r="E1" s="2" t="s">
        <v>225</v>
      </c>
      <c r="F1" s="2" t="s">
        <v>0</v>
      </c>
      <c r="G1" s="2" t="s">
        <v>303</v>
      </c>
      <c r="H1" s="2" t="s">
        <v>304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302</v>
      </c>
      <c r="O1" s="2" t="s">
        <v>218</v>
      </c>
      <c r="P1" s="2" t="s">
        <v>219</v>
      </c>
      <c r="Q1" s="2" t="s">
        <v>220</v>
      </c>
    </row>
    <row r="2" spans="1:17" ht="238" x14ac:dyDescent="0.2">
      <c r="A2" s="61" t="s">
        <v>230</v>
      </c>
      <c r="B2" s="4" t="s">
        <v>1653</v>
      </c>
      <c r="C2" s="4" t="s">
        <v>221</v>
      </c>
      <c r="D2" s="4" t="s">
        <v>1771</v>
      </c>
      <c r="E2" s="4" t="s">
        <v>1744</v>
      </c>
      <c r="F2" s="4" t="s">
        <v>986</v>
      </c>
      <c r="G2" s="4" t="s">
        <v>1651</v>
      </c>
      <c r="H2" s="4" t="s">
        <v>1652</v>
      </c>
      <c r="I2" s="4" t="s">
        <v>989</v>
      </c>
      <c r="J2" s="4" t="s">
        <v>990</v>
      </c>
      <c r="K2" s="4" t="s">
        <v>991</v>
      </c>
      <c r="L2" s="4" t="s">
        <v>992</v>
      </c>
      <c r="M2" s="4" t="s">
        <v>993</v>
      </c>
      <c r="N2" s="4" t="s">
        <v>994</v>
      </c>
      <c r="O2" s="4" t="s">
        <v>1766</v>
      </c>
      <c r="P2" s="4" t="s">
        <v>996</v>
      </c>
      <c r="Q2" s="4" t="s">
        <v>997</v>
      </c>
    </row>
    <row r="3" spans="1:17" ht="221" x14ac:dyDescent="0.2">
      <c r="A3" s="61" t="s">
        <v>230</v>
      </c>
      <c r="B3" s="4" t="s">
        <v>1653</v>
      </c>
      <c r="C3" s="4" t="s">
        <v>305</v>
      </c>
      <c r="D3" s="4" t="s">
        <v>1723</v>
      </c>
      <c r="E3" s="4" t="s">
        <v>1745</v>
      </c>
      <c r="F3" s="4" t="s">
        <v>1649</v>
      </c>
      <c r="G3" s="4" t="s">
        <v>1001</v>
      </c>
      <c r="H3" s="4" t="s">
        <v>1650</v>
      </c>
      <c r="I3" s="4" t="s">
        <v>1003</v>
      </c>
      <c r="J3" s="4" t="s">
        <v>237</v>
      </c>
      <c r="K3" s="4" t="s">
        <v>1004</v>
      </c>
      <c r="L3" s="4" t="s">
        <v>1005</v>
      </c>
      <c r="M3" s="4" t="s">
        <v>1006</v>
      </c>
      <c r="N3" s="4" t="s">
        <v>1007</v>
      </c>
      <c r="O3" s="4" t="s">
        <v>1765</v>
      </c>
      <c r="P3" s="4" t="s">
        <v>1009</v>
      </c>
      <c r="Q3" s="4" t="s">
        <v>1010</v>
      </c>
    </row>
    <row r="4" spans="1:17" ht="221" x14ac:dyDescent="0.2">
      <c r="A4" s="61" t="s">
        <v>230</v>
      </c>
      <c r="B4" s="4" t="s">
        <v>1653</v>
      </c>
      <c r="C4" s="4" t="s">
        <v>306</v>
      </c>
      <c r="D4" s="4" t="s">
        <v>1722</v>
      </c>
      <c r="E4" s="4" t="s">
        <v>1012</v>
      </c>
      <c r="F4" s="4" t="s">
        <v>1013</v>
      </c>
      <c r="G4" s="4" t="s">
        <v>1014</v>
      </c>
      <c r="H4" s="4" t="s">
        <v>1015</v>
      </c>
      <c r="I4" s="4" t="s">
        <v>1016</v>
      </c>
      <c r="J4" s="4" t="s">
        <v>237</v>
      </c>
      <c r="K4" s="4" t="s">
        <v>1017</v>
      </c>
      <c r="L4" s="4" t="s">
        <v>1018</v>
      </c>
      <c r="M4" s="4" t="s">
        <v>1019</v>
      </c>
      <c r="N4" s="4" t="s">
        <v>1020</v>
      </c>
      <c r="O4" s="4" t="s">
        <v>1764</v>
      </c>
      <c r="P4" s="4" t="s">
        <v>1789</v>
      </c>
      <c r="Q4" s="4" t="s">
        <v>1023</v>
      </c>
    </row>
    <row r="5" spans="1:17" ht="153" x14ac:dyDescent="0.2">
      <c r="A5" s="61" t="s">
        <v>230</v>
      </c>
      <c r="B5" s="4" t="s">
        <v>1653</v>
      </c>
      <c r="C5" s="4" t="s">
        <v>1</v>
      </c>
      <c r="D5" s="4" t="s">
        <v>1721</v>
      </c>
      <c r="E5" s="4" t="s">
        <v>1025</v>
      </c>
      <c r="F5" s="4" t="s">
        <v>1026</v>
      </c>
      <c r="G5" s="4" t="s">
        <v>1027</v>
      </c>
      <c r="H5" s="4" t="s">
        <v>1648</v>
      </c>
      <c r="I5" s="4" t="s">
        <v>1029</v>
      </c>
      <c r="J5" s="4" t="s">
        <v>237</v>
      </c>
      <c r="K5" s="4" t="s">
        <v>1030</v>
      </c>
      <c r="L5" s="4" t="s">
        <v>1031</v>
      </c>
      <c r="M5" s="4" t="s">
        <v>1032</v>
      </c>
      <c r="N5" s="4" t="s">
        <v>1033</v>
      </c>
      <c r="O5" s="4" t="s">
        <v>1763</v>
      </c>
      <c r="P5" s="4" t="s">
        <v>1035</v>
      </c>
      <c r="Q5" s="4" t="s">
        <v>1036</v>
      </c>
    </row>
    <row r="6" spans="1:17" ht="136" x14ac:dyDescent="0.2">
      <c r="A6" s="61" t="s">
        <v>230</v>
      </c>
      <c r="B6" s="4" t="s">
        <v>1653</v>
      </c>
      <c r="C6" s="4" t="s">
        <v>2</v>
      </c>
      <c r="D6" s="4" t="s">
        <v>1037</v>
      </c>
      <c r="E6" s="4" t="s">
        <v>1038</v>
      </c>
      <c r="F6" s="4" t="s">
        <v>1725</v>
      </c>
      <c r="G6" s="4" t="s">
        <v>1040</v>
      </c>
      <c r="H6" s="4" t="s">
        <v>1041</v>
      </c>
      <c r="I6" s="4" t="s">
        <v>237</v>
      </c>
      <c r="J6" s="4" t="s">
        <v>1042</v>
      </c>
      <c r="K6" s="4" t="s">
        <v>1043</v>
      </c>
      <c r="L6" s="4" t="s">
        <v>1044</v>
      </c>
      <c r="M6" s="4" t="s">
        <v>1045</v>
      </c>
      <c r="N6" s="4" t="s">
        <v>1046</v>
      </c>
      <c r="O6" s="4" t="s">
        <v>1790</v>
      </c>
      <c r="P6" s="4" t="s">
        <v>1048</v>
      </c>
      <c r="Q6" s="4" t="s">
        <v>1049</v>
      </c>
    </row>
    <row r="7" spans="1:17" ht="153" x14ac:dyDescent="0.2">
      <c r="A7" s="61" t="s">
        <v>307</v>
      </c>
      <c r="B7" s="4" t="s">
        <v>1668</v>
      </c>
      <c r="C7" s="4" t="s">
        <v>222</v>
      </c>
      <c r="D7" s="4" t="s">
        <v>1720</v>
      </c>
      <c r="E7" s="4" t="s">
        <v>1791</v>
      </c>
      <c r="F7" s="4" t="s">
        <v>1792</v>
      </c>
      <c r="G7" s="4" t="s">
        <v>1646</v>
      </c>
      <c r="H7" s="4" t="s">
        <v>1647</v>
      </c>
      <c r="I7" s="4" t="s">
        <v>1056</v>
      </c>
      <c r="J7" s="4" t="s">
        <v>1057</v>
      </c>
      <c r="K7" s="4" t="s">
        <v>1058</v>
      </c>
      <c r="L7" s="5" t="s">
        <v>841</v>
      </c>
      <c r="M7" s="5" t="s">
        <v>1059</v>
      </c>
      <c r="N7" s="5" t="s">
        <v>1060</v>
      </c>
      <c r="O7" s="4" t="s">
        <v>1762</v>
      </c>
      <c r="P7" s="4" t="s">
        <v>1062</v>
      </c>
      <c r="Q7" s="4" t="s">
        <v>1063</v>
      </c>
    </row>
    <row r="8" spans="1:17" ht="119" x14ac:dyDescent="0.2">
      <c r="A8" s="61" t="s">
        <v>307</v>
      </c>
      <c r="B8" s="4" t="s">
        <v>1668</v>
      </c>
      <c r="C8" s="4" t="s">
        <v>308</v>
      </c>
      <c r="D8" s="4" t="s">
        <v>1719</v>
      </c>
      <c r="E8" s="4" t="s">
        <v>1741</v>
      </c>
      <c r="F8" s="4" t="s">
        <v>1797</v>
      </c>
      <c r="G8" s="4" t="s">
        <v>1645</v>
      </c>
      <c r="H8" s="4" t="s">
        <v>1068</v>
      </c>
      <c r="I8" s="4" t="s">
        <v>1069</v>
      </c>
      <c r="J8" s="4" t="s">
        <v>237</v>
      </c>
      <c r="K8" s="4" t="s">
        <v>1070</v>
      </c>
      <c r="L8" s="4" t="s">
        <v>1071</v>
      </c>
      <c r="M8" s="4" t="s">
        <v>1072</v>
      </c>
      <c r="N8" s="4" t="s">
        <v>1073</v>
      </c>
      <c r="O8" s="4" t="s">
        <v>1760</v>
      </c>
      <c r="P8" s="4" t="s">
        <v>1075</v>
      </c>
      <c r="Q8" s="4" t="s">
        <v>1076</v>
      </c>
    </row>
    <row r="9" spans="1:17" ht="170" x14ac:dyDescent="0.2">
      <c r="A9" s="61" t="s">
        <v>307</v>
      </c>
      <c r="B9" s="4" t="s">
        <v>1668</v>
      </c>
      <c r="C9" s="4" t="s">
        <v>3</v>
      </c>
      <c r="D9" s="4" t="s">
        <v>1770</v>
      </c>
      <c r="E9" s="4" t="s">
        <v>1742</v>
      </c>
      <c r="F9" s="4" t="s">
        <v>1079</v>
      </c>
      <c r="G9" s="4" t="s">
        <v>1080</v>
      </c>
      <c r="H9" s="4" t="s">
        <v>1798</v>
      </c>
      <c r="I9" s="4" t="s">
        <v>1082</v>
      </c>
      <c r="J9" s="4" t="s">
        <v>1083</v>
      </c>
      <c r="K9" s="4" t="s">
        <v>1084</v>
      </c>
      <c r="L9" s="4" t="s">
        <v>1085</v>
      </c>
      <c r="M9" s="4" t="s">
        <v>1086</v>
      </c>
      <c r="N9" s="4" t="s">
        <v>689</v>
      </c>
      <c r="O9" s="4" t="s">
        <v>1087</v>
      </c>
      <c r="P9" s="4" t="s">
        <v>1088</v>
      </c>
      <c r="Q9" s="4" t="s">
        <v>1089</v>
      </c>
    </row>
    <row r="10" spans="1:17" ht="187" x14ac:dyDescent="0.2">
      <c r="A10" s="61" t="s">
        <v>307</v>
      </c>
      <c r="B10" s="4" t="s">
        <v>1668</v>
      </c>
      <c r="C10" s="4" t="s">
        <v>4</v>
      </c>
      <c r="D10" s="4" t="s">
        <v>1769</v>
      </c>
      <c r="E10" s="4" t="s">
        <v>1746</v>
      </c>
      <c r="F10" s="4" t="s">
        <v>1092</v>
      </c>
      <c r="G10" s="4" t="s">
        <v>1644</v>
      </c>
      <c r="H10" s="4" t="s">
        <v>1747</v>
      </c>
      <c r="I10" s="4" t="s">
        <v>1095</v>
      </c>
      <c r="J10" s="4" t="s">
        <v>1096</v>
      </c>
      <c r="K10" s="4" t="s">
        <v>1097</v>
      </c>
      <c r="L10" s="4" t="s">
        <v>1098</v>
      </c>
      <c r="M10" s="4" t="s">
        <v>1099</v>
      </c>
      <c r="N10" s="4" t="s">
        <v>1100</v>
      </c>
      <c r="O10" s="4" t="s">
        <v>1761</v>
      </c>
      <c r="P10" s="4" t="s">
        <v>1102</v>
      </c>
      <c r="Q10" s="4" t="s">
        <v>1103</v>
      </c>
    </row>
    <row r="11" spans="1:17" ht="323" x14ac:dyDescent="0.2">
      <c r="A11" s="3" t="s">
        <v>309</v>
      </c>
      <c r="B11" s="4" t="s">
        <v>1669</v>
      </c>
      <c r="C11" s="4" t="s">
        <v>310</v>
      </c>
      <c r="D11" s="4" t="s">
        <v>1105</v>
      </c>
      <c r="E11" s="4" t="s">
        <v>1743</v>
      </c>
      <c r="F11" s="4" t="s">
        <v>1107</v>
      </c>
      <c r="G11" s="4" t="s">
        <v>1108</v>
      </c>
      <c r="H11" s="4" t="s">
        <v>1109</v>
      </c>
      <c r="I11" s="4" t="s">
        <v>1110</v>
      </c>
      <c r="J11" s="4" t="s">
        <v>237</v>
      </c>
      <c r="K11" s="4" t="s">
        <v>1111</v>
      </c>
      <c r="L11" s="4" t="s">
        <v>1112</v>
      </c>
      <c r="M11" s="4" t="s">
        <v>1113</v>
      </c>
      <c r="N11" s="4" t="s">
        <v>1114</v>
      </c>
      <c r="O11" s="4" t="s">
        <v>1115</v>
      </c>
      <c r="P11" s="4" t="s">
        <v>1116</v>
      </c>
      <c r="Q11" s="4" t="s">
        <v>1117</v>
      </c>
    </row>
    <row r="12" spans="1:17" ht="187" x14ac:dyDescent="0.2">
      <c r="A12" s="59" t="s">
        <v>5</v>
      </c>
      <c r="B12" s="7" t="s">
        <v>1670</v>
      </c>
      <c r="C12" s="7" t="s">
        <v>6</v>
      </c>
      <c r="D12" s="7" t="s">
        <v>1767</v>
      </c>
      <c r="E12" s="7" t="s">
        <v>1120</v>
      </c>
      <c r="F12" s="7" t="s">
        <v>1121</v>
      </c>
      <c r="G12" s="7" t="s">
        <v>1122</v>
      </c>
      <c r="H12" s="7" t="s">
        <v>1785</v>
      </c>
      <c r="I12" s="7" t="s">
        <v>1124</v>
      </c>
      <c r="J12" s="7" t="s">
        <v>1125</v>
      </c>
      <c r="K12" s="7" t="s">
        <v>1126</v>
      </c>
      <c r="L12" s="7" t="s">
        <v>1127</v>
      </c>
      <c r="M12" s="8" t="s">
        <v>1128</v>
      </c>
      <c r="N12" s="8" t="s">
        <v>1129</v>
      </c>
      <c r="O12" s="7" t="s">
        <v>1130</v>
      </c>
      <c r="P12" s="7" t="s">
        <v>1131</v>
      </c>
      <c r="Q12" s="7" t="s">
        <v>1132</v>
      </c>
    </row>
    <row r="13" spans="1:17" ht="170" x14ac:dyDescent="0.2">
      <c r="A13" s="59" t="s">
        <v>5</v>
      </c>
      <c r="B13" s="7" t="s">
        <v>1670</v>
      </c>
      <c r="C13" s="7" t="s">
        <v>236</v>
      </c>
      <c r="D13" s="7" t="s">
        <v>1768</v>
      </c>
      <c r="E13" s="7" t="s">
        <v>1750</v>
      </c>
      <c r="F13" s="7" t="s">
        <v>1135</v>
      </c>
      <c r="G13" s="7" t="s">
        <v>1136</v>
      </c>
      <c r="H13" s="7" t="s">
        <v>1137</v>
      </c>
      <c r="I13" s="7" t="s">
        <v>1138</v>
      </c>
      <c r="J13" s="7" t="s">
        <v>1139</v>
      </c>
      <c r="K13" s="7" t="s">
        <v>1140</v>
      </c>
      <c r="L13" s="7" t="s">
        <v>1141</v>
      </c>
      <c r="M13" s="7" t="s">
        <v>1142</v>
      </c>
      <c r="N13" s="7" t="s">
        <v>1143</v>
      </c>
      <c r="O13" s="7" t="s">
        <v>1144</v>
      </c>
      <c r="P13" s="7" t="s">
        <v>1145</v>
      </c>
      <c r="Q13" s="7" t="s">
        <v>1146</v>
      </c>
    </row>
    <row r="14" spans="1:17" ht="187" x14ac:dyDescent="0.2">
      <c r="A14" s="59" t="s">
        <v>5</v>
      </c>
      <c r="B14" s="7" t="s">
        <v>1670</v>
      </c>
      <c r="C14" s="7" t="s">
        <v>7</v>
      </c>
      <c r="D14" s="7" t="s">
        <v>1772</v>
      </c>
      <c r="E14" s="7" t="s">
        <v>1148</v>
      </c>
      <c r="F14" s="7" t="s">
        <v>1641</v>
      </c>
      <c r="G14" s="7" t="s">
        <v>1642</v>
      </c>
      <c r="H14" s="7" t="s">
        <v>1643</v>
      </c>
      <c r="I14" s="7" t="s">
        <v>1152</v>
      </c>
      <c r="J14" s="7" t="s">
        <v>1153</v>
      </c>
      <c r="K14" s="7" t="s">
        <v>1154</v>
      </c>
      <c r="L14" s="7" t="s">
        <v>1155</v>
      </c>
      <c r="M14" s="8" t="s">
        <v>1156</v>
      </c>
      <c r="N14" s="7" t="s">
        <v>1157</v>
      </c>
      <c r="O14" s="7" t="s">
        <v>8</v>
      </c>
      <c r="P14" s="7" t="s">
        <v>1799</v>
      </c>
      <c r="Q14" s="7" t="s">
        <v>1800</v>
      </c>
    </row>
    <row r="15" spans="1:17" ht="136" x14ac:dyDescent="0.2">
      <c r="A15" s="59" t="s">
        <v>5</v>
      </c>
      <c r="B15" s="7" t="s">
        <v>1670</v>
      </c>
      <c r="C15" s="7" t="s">
        <v>9</v>
      </c>
      <c r="D15" s="7" t="s">
        <v>1773</v>
      </c>
      <c r="E15" s="7" t="s">
        <v>1161</v>
      </c>
      <c r="F15" s="7" t="s">
        <v>1162</v>
      </c>
      <c r="G15" s="7" t="s">
        <v>1163</v>
      </c>
      <c r="H15" s="7" t="s">
        <v>1164</v>
      </c>
      <c r="I15" s="7" t="s">
        <v>1165</v>
      </c>
      <c r="J15" s="7" t="s">
        <v>1166</v>
      </c>
      <c r="K15" s="7" t="s">
        <v>1167</v>
      </c>
      <c r="L15" s="7" t="s">
        <v>1168</v>
      </c>
      <c r="M15" s="7" t="s">
        <v>1169</v>
      </c>
      <c r="N15" s="7" t="s">
        <v>1170</v>
      </c>
      <c r="O15" s="7" t="s">
        <v>1171</v>
      </c>
      <c r="P15" s="7" t="s">
        <v>1172</v>
      </c>
      <c r="Q15" s="7" t="s">
        <v>1173</v>
      </c>
    </row>
    <row r="16" spans="1:17" ht="119" x14ac:dyDescent="0.2">
      <c r="A16" s="6" t="s">
        <v>226</v>
      </c>
      <c r="B16" s="7" t="s">
        <v>1671</v>
      </c>
      <c r="C16" s="7" t="s">
        <v>10</v>
      </c>
      <c r="D16" s="7" t="s">
        <v>1718</v>
      </c>
      <c r="E16" s="7" t="s">
        <v>1176</v>
      </c>
      <c r="F16" s="7" t="s">
        <v>1639</v>
      </c>
      <c r="G16" s="7" t="s">
        <v>1638</v>
      </c>
      <c r="H16" s="7" t="s">
        <v>1640</v>
      </c>
      <c r="I16" s="7" t="s">
        <v>1180</v>
      </c>
      <c r="J16" s="7" t="s">
        <v>1181</v>
      </c>
      <c r="K16" s="7" t="s">
        <v>1182</v>
      </c>
      <c r="L16" s="7" t="s">
        <v>1183</v>
      </c>
      <c r="M16" s="7" t="s">
        <v>1184</v>
      </c>
      <c r="N16" s="7" t="s">
        <v>1185</v>
      </c>
      <c r="O16" s="7" t="s">
        <v>1186</v>
      </c>
      <c r="P16" s="7" t="s">
        <v>1806</v>
      </c>
      <c r="Q16" s="7" t="s">
        <v>1188</v>
      </c>
    </row>
    <row r="17" spans="1:17" ht="136" x14ac:dyDescent="0.2">
      <c r="A17" s="9" t="s">
        <v>11</v>
      </c>
      <c r="B17" s="10" t="s">
        <v>1672</v>
      </c>
      <c r="C17" s="10" t="s">
        <v>227</v>
      </c>
      <c r="D17" s="10" t="s">
        <v>1717</v>
      </c>
      <c r="E17" s="10" t="s">
        <v>1751</v>
      </c>
      <c r="F17" s="10" t="s">
        <v>1802</v>
      </c>
      <c r="G17" s="10" t="s">
        <v>1193</v>
      </c>
      <c r="H17" s="10" t="s">
        <v>1194</v>
      </c>
      <c r="I17" s="10" t="s">
        <v>1195</v>
      </c>
      <c r="J17" s="10" t="s">
        <v>1196</v>
      </c>
      <c r="K17" s="10" t="s">
        <v>1197</v>
      </c>
      <c r="L17" s="10" t="s">
        <v>1198</v>
      </c>
      <c r="M17" s="10" t="s">
        <v>1199</v>
      </c>
      <c r="N17" s="10" t="s">
        <v>1200</v>
      </c>
      <c r="O17" s="10" t="s">
        <v>1201</v>
      </c>
      <c r="P17" s="10" t="s">
        <v>1202</v>
      </c>
      <c r="Q17" s="10" t="s">
        <v>1203</v>
      </c>
    </row>
    <row r="18" spans="1:17" ht="102" x14ac:dyDescent="0.2">
      <c r="A18" s="60" t="s">
        <v>228</v>
      </c>
      <c r="B18" s="10" t="s">
        <v>1673</v>
      </c>
      <c r="C18" s="10" t="s">
        <v>12</v>
      </c>
      <c r="D18" s="10" t="s">
        <v>1716</v>
      </c>
      <c r="E18" s="10" t="s">
        <v>1206</v>
      </c>
      <c r="F18" s="10" t="s">
        <v>1724</v>
      </c>
      <c r="G18" s="10" t="s">
        <v>1208</v>
      </c>
      <c r="H18" s="10" t="s">
        <v>1637</v>
      </c>
      <c r="I18" s="10" t="s">
        <v>237</v>
      </c>
      <c r="J18" s="10" t="s">
        <v>237</v>
      </c>
      <c r="K18" s="10" t="s">
        <v>1210</v>
      </c>
      <c r="L18" s="10" t="s">
        <v>1211</v>
      </c>
      <c r="M18" s="10" t="s">
        <v>1212</v>
      </c>
      <c r="N18" s="10" t="s">
        <v>1213</v>
      </c>
      <c r="O18" s="10" t="s">
        <v>1214</v>
      </c>
      <c r="P18" s="10" t="s">
        <v>1215</v>
      </c>
      <c r="Q18" s="10" t="s">
        <v>1216</v>
      </c>
    </row>
    <row r="19" spans="1:17" ht="136" x14ac:dyDescent="0.2">
      <c r="A19" s="60" t="s">
        <v>228</v>
      </c>
      <c r="B19" s="10" t="s">
        <v>1674</v>
      </c>
      <c r="C19" s="10" t="s">
        <v>13</v>
      </c>
      <c r="D19" s="10" t="s">
        <v>1715</v>
      </c>
      <c r="E19" s="10" t="s">
        <v>1752</v>
      </c>
      <c r="F19" s="10" t="s">
        <v>1748</v>
      </c>
      <c r="G19" s="10" t="s">
        <v>1221</v>
      </c>
      <c r="H19" s="10" t="s">
        <v>1222</v>
      </c>
      <c r="I19" s="10" t="s">
        <v>1223</v>
      </c>
      <c r="J19" s="10" t="s">
        <v>1224</v>
      </c>
      <c r="K19" s="10" t="s">
        <v>1225</v>
      </c>
      <c r="L19" s="10" t="s">
        <v>1226</v>
      </c>
      <c r="M19" s="10" t="s">
        <v>1227</v>
      </c>
      <c r="N19" s="10" t="s">
        <v>1228</v>
      </c>
      <c r="O19" s="10" t="s">
        <v>1229</v>
      </c>
      <c r="P19" s="10" t="s">
        <v>1753</v>
      </c>
      <c r="Q19" s="10" t="s">
        <v>1231</v>
      </c>
    </row>
    <row r="20" spans="1:17" ht="255" x14ac:dyDescent="0.2">
      <c r="A20" s="11" t="s">
        <v>14</v>
      </c>
      <c r="B20" s="12" t="s">
        <v>1675</v>
      </c>
      <c r="C20" s="12" t="s">
        <v>15</v>
      </c>
      <c r="D20" s="12" t="s">
        <v>1714</v>
      </c>
      <c r="E20" s="12" t="s">
        <v>1234</v>
      </c>
      <c r="F20" s="12" t="s">
        <v>1636</v>
      </c>
      <c r="G20" s="12" t="s">
        <v>1635</v>
      </c>
      <c r="H20" s="12" t="s">
        <v>1786</v>
      </c>
      <c r="I20" s="12" t="s">
        <v>1726</v>
      </c>
      <c r="J20" s="12" t="s">
        <v>1239</v>
      </c>
      <c r="K20" s="12" t="s">
        <v>1240</v>
      </c>
      <c r="L20" s="12" t="s">
        <v>1727</v>
      </c>
      <c r="M20" s="12" t="s">
        <v>1728</v>
      </c>
      <c r="N20" s="12" t="s">
        <v>1243</v>
      </c>
      <c r="O20" s="12" t="s">
        <v>1244</v>
      </c>
      <c r="P20" s="12" t="s">
        <v>1245</v>
      </c>
      <c r="Q20" s="12" t="s">
        <v>1246</v>
      </c>
    </row>
    <row r="21" spans="1:17" ht="153" x14ac:dyDescent="0.2">
      <c r="A21" s="13" t="s">
        <v>16</v>
      </c>
      <c r="B21" s="14" t="s">
        <v>1676</v>
      </c>
      <c r="C21" s="14" t="s">
        <v>973</v>
      </c>
      <c r="D21" s="14" t="s">
        <v>1774</v>
      </c>
      <c r="E21" s="14" t="s">
        <v>1784</v>
      </c>
      <c r="F21" s="14" t="s">
        <v>586</v>
      </c>
      <c r="G21" s="14" t="s">
        <v>1634</v>
      </c>
      <c r="H21" s="14" t="s">
        <v>1251</v>
      </c>
      <c r="I21" s="14" t="s">
        <v>1252</v>
      </c>
      <c r="J21" s="14" t="s">
        <v>1253</v>
      </c>
      <c r="K21" s="14" t="s">
        <v>1254</v>
      </c>
      <c r="L21" s="14" t="s">
        <v>1255</v>
      </c>
      <c r="M21" s="14" t="s">
        <v>1256</v>
      </c>
      <c r="N21" s="14" t="s">
        <v>1257</v>
      </c>
      <c r="O21" s="14" t="s">
        <v>235</v>
      </c>
      <c r="P21" s="14" t="s">
        <v>1258</v>
      </c>
      <c r="Q21" s="14" t="s">
        <v>1259</v>
      </c>
    </row>
    <row r="22" spans="1:17" ht="136" x14ac:dyDescent="0.2">
      <c r="A22" s="15" t="s">
        <v>17</v>
      </c>
      <c r="B22" s="16" t="s">
        <v>1677</v>
      </c>
      <c r="C22" s="16" t="s">
        <v>18</v>
      </c>
      <c r="D22" s="16" t="s">
        <v>1775</v>
      </c>
      <c r="E22" s="16" t="s">
        <v>1783</v>
      </c>
      <c r="F22" s="16" t="s">
        <v>1803</v>
      </c>
      <c r="G22" s="16" t="s">
        <v>1793</v>
      </c>
      <c r="H22" s="16" t="s">
        <v>1265</v>
      </c>
      <c r="I22" s="16" t="s">
        <v>237</v>
      </c>
      <c r="J22" s="16" t="s">
        <v>237</v>
      </c>
      <c r="K22" s="16" t="s">
        <v>1266</v>
      </c>
      <c r="L22" s="16" t="s">
        <v>1740</v>
      </c>
      <c r="M22" s="16" t="s">
        <v>1268</v>
      </c>
      <c r="N22" s="16" t="s">
        <v>1269</v>
      </c>
      <c r="O22" s="16" t="s">
        <v>235</v>
      </c>
      <c r="P22" s="16" t="s">
        <v>1270</v>
      </c>
      <c r="Q22" s="16" t="s">
        <v>1271</v>
      </c>
    </row>
    <row r="23" spans="1:17" ht="102" x14ac:dyDescent="0.2">
      <c r="A23" s="15" t="s">
        <v>232</v>
      </c>
      <c r="B23" s="16" t="s">
        <v>1678</v>
      </c>
      <c r="C23" s="16" t="s">
        <v>19</v>
      </c>
      <c r="D23" s="16" t="s">
        <v>1776</v>
      </c>
      <c r="E23" s="16" t="s">
        <v>1274</v>
      </c>
      <c r="F23" s="16" t="s">
        <v>1275</v>
      </c>
      <c r="G23" s="16" t="s">
        <v>1276</v>
      </c>
      <c r="H23" s="16" t="s">
        <v>1787</v>
      </c>
      <c r="I23" s="16" t="s">
        <v>237</v>
      </c>
      <c r="J23" s="16" t="s">
        <v>1278</v>
      </c>
      <c r="K23" s="16" t="s">
        <v>1279</v>
      </c>
      <c r="L23" s="16" t="s">
        <v>871</v>
      </c>
      <c r="M23" s="16" t="s">
        <v>1280</v>
      </c>
      <c r="N23" s="16" t="s">
        <v>1281</v>
      </c>
      <c r="O23" s="16" t="s">
        <v>235</v>
      </c>
      <c r="P23" s="16" t="s">
        <v>1807</v>
      </c>
      <c r="Q23" s="16" t="s">
        <v>1283</v>
      </c>
    </row>
    <row r="24" spans="1:17" ht="136" x14ac:dyDescent="0.2">
      <c r="A24" s="15" t="s">
        <v>20</v>
      </c>
      <c r="B24" s="16" t="s">
        <v>1679</v>
      </c>
      <c r="C24" s="16" t="s">
        <v>21</v>
      </c>
      <c r="D24" s="16" t="s">
        <v>1777</v>
      </c>
      <c r="E24" s="16" t="s">
        <v>1286</v>
      </c>
      <c r="F24" s="16" t="s">
        <v>1287</v>
      </c>
      <c r="G24" s="16" t="s">
        <v>1288</v>
      </c>
      <c r="H24" s="16" t="s">
        <v>1289</v>
      </c>
      <c r="I24" s="16" t="s">
        <v>237</v>
      </c>
      <c r="J24" s="16" t="s">
        <v>1290</v>
      </c>
      <c r="K24" s="16" t="s">
        <v>1291</v>
      </c>
      <c r="L24" s="16" t="s">
        <v>1292</v>
      </c>
      <c r="M24" s="16" t="s">
        <v>1293</v>
      </c>
      <c r="N24" s="16" t="s">
        <v>1294</v>
      </c>
      <c r="O24" s="16" t="s">
        <v>235</v>
      </c>
      <c r="P24" s="16" t="s">
        <v>1754</v>
      </c>
      <c r="Q24" s="16" t="s">
        <v>1296</v>
      </c>
    </row>
    <row r="25" spans="1:17" ht="153" x14ac:dyDescent="0.2">
      <c r="A25" s="58" t="s">
        <v>22</v>
      </c>
      <c r="B25" s="18" t="s">
        <v>1680</v>
      </c>
      <c r="C25" s="18" t="s">
        <v>23</v>
      </c>
      <c r="D25" s="18" t="s">
        <v>1778</v>
      </c>
      <c r="E25" s="18" t="s">
        <v>1299</v>
      </c>
      <c r="F25" s="18" t="s">
        <v>1300</v>
      </c>
      <c r="G25" s="18" t="s">
        <v>1633</v>
      </c>
      <c r="H25" s="18" t="s">
        <v>1788</v>
      </c>
      <c r="I25" s="18" t="s">
        <v>237</v>
      </c>
      <c r="J25" s="18" t="s">
        <v>1302</v>
      </c>
      <c r="K25" s="18" t="s">
        <v>1303</v>
      </c>
      <c r="L25" s="18" t="s">
        <v>1304</v>
      </c>
      <c r="M25" s="18" t="s">
        <v>1305</v>
      </c>
      <c r="N25" s="18" t="s">
        <v>1306</v>
      </c>
      <c r="O25" s="18" t="s">
        <v>235</v>
      </c>
      <c r="P25" s="18" t="s">
        <v>1307</v>
      </c>
      <c r="Q25" s="18" t="s">
        <v>1308</v>
      </c>
    </row>
    <row r="26" spans="1:17" ht="68" x14ac:dyDescent="0.2">
      <c r="A26" s="58" t="s">
        <v>22</v>
      </c>
      <c r="B26" s="18" t="s">
        <v>1680</v>
      </c>
      <c r="C26" s="18" t="s">
        <v>24</v>
      </c>
      <c r="D26" s="18" t="s">
        <v>1779</v>
      </c>
      <c r="E26" s="18" t="s">
        <v>1310</v>
      </c>
      <c r="F26" s="18" t="s">
        <v>1311</v>
      </c>
      <c r="G26" s="18" t="s">
        <v>1632</v>
      </c>
      <c r="H26" s="18" t="s">
        <v>1312</v>
      </c>
      <c r="I26" s="18" t="s">
        <v>1313</v>
      </c>
      <c r="J26" s="18" t="s">
        <v>1314</v>
      </c>
      <c r="K26" s="18" t="s">
        <v>1315</v>
      </c>
      <c r="L26" s="18" t="s">
        <v>1316</v>
      </c>
      <c r="M26" s="18" t="s">
        <v>1317</v>
      </c>
      <c r="N26" s="18" t="s">
        <v>1759</v>
      </c>
      <c r="O26" s="18" t="s">
        <v>235</v>
      </c>
      <c r="P26" s="18" t="s">
        <v>1319</v>
      </c>
      <c r="Q26" s="18" t="s">
        <v>1320</v>
      </c>
    </row>
    <row r="27" spans="1:17" ht="102" x14ac:dyDescent="0.2">
      <c r="A27" s="58" t="s">
        <v>231</v>
      </c>
      <c r="B27" s="18" t="s">
        <v>1321</v>
      </c>
      <c r="C27" s="18" t="s">
        <v>25</v>
      </c>
      <c r="D27" s="18" t="s">
        <v>1780</v>
      </c>
      <c r="E27" s="18" t="s">
        <v>1323</v>
      </c>
      <c r="F27" s="18" t="s">
        <v>1324</v>
      </c>
      <c r="G27" s="18" t="s">
        <v>1612</v>
      </c>
      <c r="H27" s="18" t="s">
        <v>1325</v>
      </c>
      <c r="I27" s="18" t="s">
        <v>237</v>
      </c>
      <c r="J27" s="18" t="s">
        <v>237</v>
      </c>
      <c r="K27" s="18" t="s">
        <v>1326</v>
      </c>
      <c r="L27" s="18" t="s">
        <v>1327</v>
      </c>
      <c r="M27" s="18" t="s">
        <v>1328</v>
      </c>
      <c r="N27" s="18" t="s">
        <v>1306</v>
      </c>
      <c r="O27" s="18" t="s">
        <v>235</v>
      </c>
      <c r="P27" s="18" t="s">
        <v>1329</v>
      </c>
      <c r="Q27" s="18" t="s">
        <v>1330</v>
      </c>
    </row>
    <row r="28" spans="1:17" ht="85" x14ac:dyDescent="0.2">
      <c r="A28" s="58" t="s">
        <v>231</v>
      </c>
      <c r="B28" s="18" t="s">
        <v>1321</v>
      </c>
      <c r="C28" s="18" t="s">
        <v>26</v>
      </c>
      <c r="D28" s="18" t="s">
        <v>1713</v>
      </c>
      <c r="E28" s="18" t="s">
        <v>1332</v>
      </c>
      <c r="F28" s="18" t="s">
        <v>1333</v>
      </c>
      <c r="G28" s="18" t="s">
        <v>1631</v>
      </c>
      <c r="H28" s="18" t="s">
        <v>1334</v>
      </c>
      <c r="I28" s="18" t="s">
        <v>237</v>
      </c>
      <c r="J28" s="18" t="s">
        <v>237</v>
      </c>
      <c r="K28" s="18" t="s">
        <v>1335</v>
      </c>
      <c r="L28" s="18" t="s">
        <v>1739</v>
      </c>
      <c r="M28" s="20" t="s">
        <v>1337</v>
      </c>
      <c r="N28" s="20" t="s">
        <v>1338</v>
      </c>
      <c r="O28" s="18" t="s">
        <v>235</v>
      </c>
      <c r="P28" s="18" t="s">
        <v>1339</v>
      </c>
      <c r="Q28" s="18" t="s">
        <v>1340</v>
      </c>
    </row>
    <row r="29" spans="1:17" ht="102" x14ac:dyDescent="0.2">
      <c r="A29" s="17" t="s">
        <v>27</v>
      </c>
      <c r="B29" s="18" t="s">
        <v>1681</v>
      </c>
      <c r="C29" s="18" t="s">
        <v>28</v>
      </c>
      <c r="D29" s="18" t="s">
        <v>1342</v>
      </c>
      <c r="E29" s="18" t="s">
        <v>1804</v>
      </c>
      <c r="F29" s="18" t="s">
        <v>1805</v>
      </c>
      <c r="G29" s="18" t="s">
        <v>1794</v>
      </c>
      <c r="H29" s="18" t="s">
        <v>1729</v>
      </c>
      <c r="I29" s="18" t="s">
        <v>237</v>
      </c>
      <c r="J29" s="18" t="s">
        <v>237</v>
      </c>
      <c r="K29" s="18" t="s">
        <v>1795</v>
      </c>
      <c r="L29" s="18" t="s">
        <v>1347</v>
      </c>
      <c r="M29" s="18" t="s">
        <v>1348</v>
      </c>
      <c r="N29" s="18" t="s">
        <v>1349</v>
      </c>
      <c r="O29" s="18" t="s">
        <v>235</v>
      </c>
      <c r="P29" s="18" t="s">
        <v>1796</v>
      </c>
      <c r="Q29" s="18" t="s">
        <v>1351</v>
      </c>
    </row>
    <row r="30" spans="1:17" ht="68" x14ac:dyDescent="0.2">
      <c r="A30" s="58" t="s">
        <v>29</v>
      </c>
      <c r="B30" s="18" t="s">
        <v>1682</v>
      </c>
      <c r="C30" s="18" t="s">
        <v>30</v>
      </c>
      <c r="D30" s="18" t="s">
        <v>1712</v>
      </c>
      <c r="E30" s="18" t="s">
        <v>1354</v>
      </c>
      <c r="F30" s="18" t="s">
        <v>1355</v>
      </c>
      <c r="G30" s="18" t="s">
        <v>1660</v>
      </c>
      <c r="H30" s="18" t="s">
        <v>1730</v>
      </c>
      <c r="I30" s="18" t="s">
        <v>237</v>
      </c>
      <c r="J30" s="18" t="s">
        <v>1278</v>
      </c>
      <c r="K30" s="18" t="s">
        <v>1357</v>
      </c>
      <c r="L30" s="18" t="s">
        <v>1358</v>
      </c>
      <c r="M30" s="18" t="s">
        <v>1359</v>
      </c>
      <c r="N30" s="18" t="s">
        <v>1360</v>
      </c>
      <c r="O30" s="18" t="s">
        <v>235</v>
      </c>
      <c r="P30" s="18" t="s">
        <v>1361</v>
      </c>
      <c r="Q30" s="18" t="s">
        <v>1362</v>
      </c>
    </row>
    <row r="31" spans="1:17" ht="119" x14ac:dyDescent="0.2">
      <c r="A31" s="58" t="s">
        <v>29</v>
      </c>
      <c r="B31" s="18" t="s">
        <v>1682</v>
      </c>
      <c r="C31" s="18" t="s">
        <v>31</v>
      </c>
      <c r="D31" s="18" t="s">
        <v>1363</v>
      </c>
      <c r="E31" s="18" t="s">
        <v>1364</v>
      </c>
      <c r="F31" s="18" t="s">
        <v>1365</v>
      </c>
      <c r="G31" s="18" t="s">
        <v>1628</v>
      </c>
      <c r="H31" s="18" t="s">
        <v>1366</v>
      </c>
      <c r="I31" s="18" t="s">
        <v>237</v>
      </c>
      <c r="J31" s="18" t="s">
        <v>1278</v>
      </c>
      <c r="K31" s="18" t="s">
        <v>1367</v>
      </c>
      <c r="L31" s="18" t="s">
        <v>1368</v>
      </c>
      <c r="M31" s="18" t="s">
        <v>1369</v>
      </c>
      <c r="N31" s="19" t="s">
        <v>1370</v>
      </c>
      <c r="O31" s="18" t="s">
        <v>1371</v>
      </c>
      <c r="P31" s="18" t="s">
        <v>1372</v>
      </c>
      <c r="Q31" s="18" t="s">
        <v>1373</v>
      </c>
    </row>
    <row r="32" spans="1:17" ht="102" x14ac:dyDescent="0.2">
      <c r="A32" s="17" t="s">
        <v>32</v>
      </c>
      <c r="B32" s="18" t="s">
        <v>1683</v>
      </c>
      <c r="C32" s="18" t="s">
        <v>33</v>
      </c>
      <c r="D32" s="18" t="s">
        <v>1711</v>
      </c>
      <c r="E32" s="18" t="s">
        <v>1376</v>
      </c>
      <c r="F32" s="18" t="s">
        <v>1377</v>
      </c>
      <c r="G32" s="18" t="s">
        <v>1661</v>
      </c>
      <c r="H32" s="18" t="s">
        <v>1731</v>
      </c>
      <c r="I32" s="18" t="s">
        <v>1379</v>
      </c>
      <c r="J32" s="18" t="s">
        <v>237</v>
      </c>
      <c r="K32" s="18" t="s">
        <v>1380</v>
      </c>
      <c r="L32" s="18" t="s">
        <v>1381</v>
      </c>
      <c r="M32" s="18" t="s">
        <v>1382</v>
      </c>
      <c r="N32" s="18" t="s">
        <v>1306</v>
      </c>
      <c r="O32" s="18" t="s">
        <v>235</v>
      </c>
      <c r="P32" s="18" t="s">
        <v>1383</v>
      </c>
      <c r="Q32" s="18" t="s">
        <v>1330</v>
      </c>
    </row>
    <row r="33" spans="1:17" ht="85" x14ac:dyDescent="0.2">
      <c r="A33" s="17" t="s">
        <v>32</v>
      </c>
      <c r="B33" s="18" t="s">
        <v>1683</v>
      </c>
      <c r="C33" s="18" t="s">
        <v>34</v>
      </c>
      <c r="D33" s="18" t="s">
        <v>1710</v>
      </c>
      <c r="E33" s="18" t="s">
        <v>1385</v>
      </c>
      <c r="F33" s="18" t="s">
        <v>1386</v>
      </c>
      <c r="G33" s="18" t="s">
        <v>1626</v>
      </c>
      <c r="H33" s="18" t="s">
        <v>1387</v>
      </c>
      <c r="I33" s="18" t="s">
        <v>1379</v>
      </c>
      <c r="J33" s="18" t="s">
        <v>237</v>
      </c>
      <c r="K33" s="18" t="s">
        <v>1388</v>
      </c>
      <c r="L33" s="18" t="s">
        <v>895</v>
      </c>
      <c r="M33" s="18" t="s">
        <v>1389</v>
      </c>
      <c r="N33" s="18" t="s">
        <v>1390</v>
      </c>
      <c r="O33" s="18" t="s">
        <v>1371</v>
      </c>
      <c r="P33" s="18" t="s">
        <v>1391</v>
      </c>
      <c r="Q33" s="18" t="s">
        <v>1392</v>
      </c>
    </row>
    <row r="34" spans="1:17" ht="102" x14ac:dyDescent="0.2">
      <c r="A34" s="57" t="s">
        <v>311</v>
      </c>
      <c r="B34" s="21" t="s">
        <v>1684</v>
      </c>
      <c r="C34" s="21" t="s">
        <v>312</v>
      </c>
      <c r="D34" s="21" t="s">
        <v>1709</v>
      </c>
      <c r="E34" s="21" t="s">
        <v>1395</v>
      </c>
      <c r="F34" s="21" t="s">
        <v>1396</v>
      </c>
      <c r="G34" s="21" t="s">
        <v>1662</v>
      </c>
      <c r="H34" s="21" t="s">
        <v>1397</v>
      </c>
      <c r="I34" s="21" t="s">
        <v>1398</v>
      </c>
      <c r="J34" s="21" t="s">
        <v>1399</v>
      </c>
      <c r="K34" s="21" t="s">
        <v>1400</v>
      </c>
      <c r="L34" s="21" t="s">
        <v>1401</v>
      </c>
      <c r="M34" s="21" t="s">
        <v>1402</v>
      </c>
      <c r="N34" s="21" t="s">
        <v>1403</v>
      </c>
      <c r="O34" s="21" t="s">
        <v>235</v>
      </c>
      <c r="P34" s="21" t="s">
        <v>1404</v>
      </c>
      <c r="Q34" s="21" t="s">
        <v>1405</v>
      </c>
    </row>
    <row r="35" spans="1:17" ht="102" x14ac:dyDescent="0.2">
      <c r="A35" s="57" t="s">
        <v>311</v>
      </c>
      <c r="B35" s="21" t="s">
        <v>1684</v>
      </c>
      <c r="C35" s="21" t="s">
        <v>35</v>
      </c>
      <c r="D35" s="21" t="s">
        <v>1708</v>
      </c>
      <c r="E35" s="21" t="s">
        <v>1407</v>
      </c>
      <c r="F35" s="21" t="s">
        <v>1408</v>
      </c>
      <c r="G35" s="21" t="s">
        <v>1625</v>
      </c>
      <c r="H35" s="21" t="s">
        <v>1409</v>
      </c>
      <c r="I35" s="21" t="s">
        <v>1410</v>
      </c>
      <c r="J35" s="21" t="s">
        <v>1411</v>
      </c>
      <c r="K35" s="21" t="s">
        <v>1412</v>
      </c>
      <c r="L35" s="21" t="s">
        <v>1413</v>
      </c>
      <c r="M35" s="21" t="s">
        <v>1414</v>
      </c>
      <c r="N35" s="21" t="s">
        <v>1415</v>
      </c>
      <c r="O35" s="21" t="s">
        <v>1801</v>
      </c>
      <c r="P35" s="21" t="s">
        <v>1417</v>
      </c>
      <c r="Q35" s="21" t="s">
        <v>1418</v>
      </c>
    </row>
    <row r="36" spans="1:17" ht="102" x14ac:dyDescent="0.2">
      <c r="A36" s="57" t="s">
        <v>313</v>
      </c>
      <c r="B36" s="21" t="s">
        <v>1685</v>
      </c>
      <c r="C36" s="21" t="s">
        <v>36</v>
      </c>
      <c r="D36" s="21" t="s">
        <v>1707</v>
      </c>
      <c r="E36" s="21" t="s">
        <v>1421</v>
      </c>
      <c r="F36" s="21" t="s">
        <v>1732</v>
      </c>
      <c r="G36" s="21" t="s">
        <v>1624</v>
      </c>
      <c r="H36" s="21" t="s">
        <v>1733</v>
      </c>
      <c r="I36" s="21" t="s">
        <v>1423</v>
      </c>
      <c r="J36" s="21" t="s">
        <v>1424</v>
      </c>
      <c r="K36" s="21" t="s">
        <v>1425</v>
      </c>
      <c r="L36" s="21" t="s">
        <v>1426</v>
      </c>
      <c r="M36" s="22" t="s">
        <v>1427</v>
      </c>
      <c r="N36" s="22" t="s">
        <v>1428</v>
      </c>
      <c r="O36" s="21" t="s">
        <v>235</v>
      </c>
      <c r="P36" s="21" t="s">
        <v>1429</v>
      </c>
      <c r="Q36" s="21" t="s">
        <v>1430</v>
      </c>
    </row>
    <row r="37" spans="1:17" ht="85" x14ac:dyDescent="0.2">
      <c r="A37" s="57" t="s">
        <v>313</v>
      </c>
      <c r="B37" s="21" t="s">
        <v>1685</v>
      </c>
      <c r="C37" s="21" t="s">
        <v>314</v>
      </c>
      <c r="D37" s="21" t="s">
        <v>1706</v>
      </c>
      <c r="E37" s="21" t="s">
        <v>1432</v>
      </c>
      <c r="F37" s="21" t="s">
        <v>1734</v>
      </c>
      <c r="G37" s="21" t="s">
        <v>1655</v>
      </c>
      <c r="H37" s="21" t="s">
        <v>1434</v>
      </c>
      <c r="I37" s="21" t="s">
        <v>237</v>
      </c>
      <c r="J37" s="21" t="s">
        <v>1435</v>
      </c>
      <c r="K37" s="21" t="s">
        <v>1436</v>
      </c>
      <c r="L37" s="21" t="s">
        <v>1437</v>
      </c>
      <c r="M37" s="21" t="s">
        <v>1438</v>
      </c>
      <c r="N37" s="21" t="s">
        <v>1439</v>
      </c>
      <c r="O37" s="21" t="s">
        <v>235</v>
      </c>
      <c r="P37" s="21" t="s">
        <v>1440</v>
      </c>
      <c r="Q37" s="21" t="s">
        <v>1441</v>
      </c>
    </row>
    <row r="38" spans="1:17" ht="102" x14ac:dyDescent="0.2">
      <c r="A38" s="57" t="s">
        <v>313</v>
      </c>
      <c r="B38" s="21" t="s">
        <v>1685</v>
      </c>
      <c r="C38" s="21" t="s">
        <v>315</v>
      </c>
      <c r="D38" s="21" t="s">
        <v>1705</v>
      </c>
      <c r="E38" s="21" t="s">
        <v>1443</v>
      </c>
      <c r="F38" s="21" t="s">
        <v>1444</v>
      </c>
      <c r="G38" s="21" t="s">
        <v>1623</v>
      </c>
      <c r="H38" s="21" t="s">
        <v>1445</v>
      </c>
      <c r="I38" s="21" t="s">
        <v>1446</v>
      </c>
      <c r="J38" s="21" t="s">
        <v>1447</v>
      </c>
      <c r="K38" s="21" t="s">
        <v>1448</v>
      </c>
      <c r="L38" s="21" t="s">
        <v>1449</v>
      </c>
      <c r="M38" s="21" t="s">
        <v>1450</v>
      </c>
      <c r="N38" s="21" t="s">
        <v>1451</v>
      </c>
      <c r="O38" s="21" t="s">
        <v>235</v>
      </c>
      <c r="P38" s="21" t="s">
        <v>1452</v>
      </c>
      <c r="Q38" s="21" t="s">
        <v>1453</v>
      </c>
    </row>
    <row r="39" spans="1:17" ht="85" x14ac:dyDescent="0.2">
      <c r="A39" s="57" t="s">
        <v>313</v>
      </c>
      <c r="B39" s="21" t="s">
        <v>1685</v>
      </c>
      <c r="C39" s="21" t="s">
        <v>223</v>
      </c>
      <c r="D39" s="21" t="s">
        <v>1704</v>
      </c>
      <c r="E39" s="21" t="s">
        <v>1455</v>
      </c>
      <c r="F39" s="21" t="s">
        <v>1456</v>
      </c>
      <c r="G39" s="21" t="s">
        <v>1663</v>
      </c>
      <c r="H39" s="21" t="s">
        <v>1457</v>
      </c>
      <c r="I39" s="21" t="s">
        <v>237</v>
      </c>
      <c r="J39" s="21" t="s">
        <v>1458</v>
      </c>
      <c r="K39" s="21" t="s">
        <v>1459</v>
      </c>
      <c r="L39" s="21" t="s">
        <v>1460</v>
      </c>
      <c r="M39" s="21" t="s">
        <v>1461</v>
      </c>
      <c r="N39" s="21" t="s">
        <v>1462</v>
      </c>
      <c r="O39" s="21" t="s">
        <v>235</v>
      </c>
      <c r="P39" s="21" t="s">
        <v>1463</v>
      </c>
      <c r="Q39" s="21" t="s">
        <v>1464</v>
      </c>
    </row>
    <row r="40" spans="1:17" ht="102" x14ac:dyDescent="0.2">
      <c r="A40" s="55" t="s">
        <v>37</v>
      </c>
      <c r="B40" s="23" t="s">
        <v>1465</v>
      </c>
      <c r="C40" s="23" t="s">
        <v>38</v>
      </c>
      <c r="D40" s="23" t="s">
        <v>1703</v>
      </c>
      <c r="E40" s="23" t="s">
        <v>1782</v>
      </c>
      <c r="F40" s="23" t="s">
        <v>1468</v>
      </c>
      <c r="G40" s="23" t="s">
        <v>1622</v>
      </c>
      <c r="H40" s="23" t="s">
        <v>1735</v>
      </c>
      <c r="I40" s="23" t="s">
        <v>1470</v>
      </c>
      <c r="J40" s="23" t="s">
        <v>1471</v>
      </c>
      <c r="K40" s="23" t="s">
        <v>1472</v>
      </c>
      <c r="L40" s="23" t="s">
        <v>1738</v>
      </c>
      <c r="M40" s="23" t="s">
        <v>1474</v>
      </c>
      <c r="N40" s="23" t="s">
        <v>1475</v>
      </c>
      <c r="O40" s="23" t="s">
        <v>235</v>
      </c>
      <c r="P40" s="23" t="s">
        <v>1808</v>
      </c>
      <c r="Q40" s="23" t="s">
        <v>1477</v>
      </c>
    </row>
    <row r="41" spans="1:17" ht="102" x14ac:dyDescent="0.2">
      <c r="A41" s="55" t="s">
        <v>37</v>
      </c>
      <c r="B41" s="25" t="s">
        <v>1465</v>
      </c>
      <c r="C41" s="25" t="s">
        <v>39</v>
      </c>
      <c r="D41" s="25" t="s">
        <v>1702</v>
      </c>
      <c r="E41" s="25" t="s">
        <v>1479</v>
      </c>
      <c r="F41" s="25" t="s">
        <v>1480</v>
      </c>
      <c r="G41" s="25" t="s">
        <v>1657</v>
      </c>
      <c r="H41" s="25" t="s">
        <v>1481</v>
      </c>
      <c r="I41" s="23" t="s">
        <v>1482</v>
      </c>
      <c r="J41" s="25" t="s">
        <v>237</v>
      </c>
      <c r="K41" s="25" t="s">
        <v>1483</v>
      </c>
      <c r="L41" s="25" t="s">
        <v>1484</v>
      </c>
      <c r="M41" s="25" t="s">
        <v>1485</v>
      </c>
      <c r="N41" s="25" t="s">
        <v>1486</v>
      </c>
      <c r="O41" s="25" t="s">
        <v>235</v>
      </c>
      <c r="P41" s="25" t="s">
        <v>1487</v>
      </c>
      <c r="Q41" s="25" t="s">
        <v>1488</v>
      </c>
    </row>
    <row r="42" spans="1:17" ht="102" x14ac:dyDescent="0.2">
      <c r="A42" s="55" t="s">
        <v>40</v>
      </c>
      <c r="B42" s="23" t="s">
        <v>1686</v>
      </c>
      <c r="C42" s="23" t="s">
        <v>316</v>
      </c>
      <c r="D42" s="23" t="s">
        <v>1701</v>
      </c>
      <c r="E42" s="23" t="s">
        <v>1491</v>
      </c>
      <c r="F42" s="23" t="s">
        <v>1492</v>
      </c>
      <c r="G42" s="23" t="s">
        <v>1664</v>
      </c>
      <c r="H42" s="23" t="s">
        <v>1736</v>
      </c>
      <c r="I42" s="23" t="s">
        <v>1494</v>
      </c>
      <c r="J42" s="23" t="s">
        <v>1495</v>
      </c>
      <c r="K42" s="23" t="s">
        <v>1496</v>
      </c>
      <c r="L42" s="23" t="s">
        <v>549</v>
      </c>
      <c r="M42" s="23" t="s">
        <v>1497</v>
      </c>
      <c r="N42" s="23" t="s">
        <v>1498</v>
      </c>
      <c r="O42" s="23" t="s">
        <v>235</v>
      </c>
      <c r="P42" s="23" t="s">
        <v>1499</v>
      </c>
      <c r="Q42" s="23" t="s">
        <v>1500</v>
      </c>
    </row>
    <row r="43" spans="1:17" ht="68" x14ac:dyDescent="0.2">
      <c r="A43" s="55" t="s">
        <v>40</v>
      </c>
      <c r="B43" s="23" t="s">
        <v>1686</v>
      </c>
      <c r="C43" s="25" t="s">
        <v>929</v>
      </c>
      <c r="D43" s="25" t="s">
        <v>1501</v>
      </c>
      <c r="E43" s="25" t="s">
        <v>1502</v>
      </c>
      <c r="F43" s="25" t="s">
        <v>1503</v>
      </c>
      <c r="G43" s="25" t="s">
        <v>1620</v>
      </c>
      <c r="H43" s="25" t="s">
        <v>1504</v>
      </c>
      <c r="I43" s="25" t="s">
        <v>237</v>
      </c>
      <c r="J43" s="25" t="s">
        <v>1505</v>
      </c>
      <c r="K43" s="25" t="s">
        <v>1506</v>
      </c>
      <c r="L43" s="25" t="s">
        <v>1507</v>
      </c>
      <c r="M43" s="25" t="s">
        <v>1508</v>
      </c>
      <c r="N43" s="24" t="s">
        <v>1509</v>
      </c>
      <c r="O43" s="25" t="s">
        <v>235</v>
      </c>
      <c r="P43" s="25" t="s">
        <v>1510</v>
      </c>
      <c r="Q43" s="25" t="s">
        <v>1511</v>
      </c>
    </row>
    <row r="44" spans="1:17" ht="68" x14ac:dyDescent="0.2">
      <c r="A44" s="55" t="s">
        <v>229</v>
      </c>
      <c r="B44" s="25" t="s">
        <v>1512</v>
      </c>
      <c r="C44" s="25" t="s">
        <v>41</v>
      </c>
      <c r="D44" s="25" t="s">
        <v>1513</v>
      </c>
      <c r="E44" s="25" t="s">
        <v>1514</v>
      </c>
      <c r="F44" s="25" t="s">
        <v>1515</v>
      </c>
      <c r="G44" s="25" t="s">
        <v>1665</v>
      </c>
      <c r="H44" s="25" t="s">
        <v>1516</v>
      </c>
      <c r="I44" s="23" t="s">
        <v>1517</v>
      </c>
      <c r="J44" s="25" t="s">
        <v>299</v>
      </c>
      <c r="K44" s="25" t="s">
        <v>1518</v>
      </c>
      <c r="L44" s="25" t="s">
        <v>556</v>
      </c>
      <c r="M44" s="25" t="s">
        <v>1519</v>
      </c>
      <c r="N44" s="25" t="s">
        <v>1520</v>
      </c>
      <c r="O44" s="25" t="s">
        <v>235</v>
      </c>
      <c r="P44" s="25" t="s">
        <v>1521</v>
      </c>
      <c r="Q44" s="25" t="s">
        <v>1522</v>
      </c>
    </row>
    <row r="45" spans="1:17" ht="68" x14ac:dyDescent="0.2">
      <c r="A45" s="55" t="s">
        <v>229</v>
      </c>
      <c r="B45" s="25" t="s">
        <v>1512</v>
      </c>
      <c r="C45" s="25" t="s">
        <v>233</v>
      </c>
      <c r="D45" s="25" t="s">
        <v>1523</v>
      </c>
      <c r="E45" s="25" t="s">
        <v>1524</v>
      </c>
      <c r="F45" s="25" t="s">
        <v>1525</v>
      </c>
      <c r="G45" s="25" t="s">
        <v>1619</v>
      </c>
      <c r="H45" s="25" t="s">
        <v>1526</v>
      </c>
      <c r="I45" s="25" t="s">
        <v>1527</v>
      </c>
      <c r="J45" s="25" t="s">
        <v>1528</v>
      </c>
      <c r="K45" s="25" t="s">
        <v>1529</v>
      </c>
      <c r="L45" s="25" t="s">
        <v>1530</v>
      </c>
      <c r="M45" s="25" t="s">
        <v>1531</v>
      </c>
      <c r="N45" s="24" t="s">
        <v>1532</v>
      </c>
      <c r="O45" s="25" t="s">
        <v>235</v>
      </c>
      <c r="P45" s="25" t="s">
        <v>1533</v>
      </c>
      <c r="Q45" s="25" t="s">
        <v>1534</v>
      </c>
    </row>
    <row r="46" spans="1:17" ht="119" x14ac:dyDescent="0.2">
      <c r="A46" s="26" t="s">
        <v>42</v>
      </c>
      <c r="B46" s="27" t="s">
        <v>1687</v>
      </c>
      <c r="C46" s="27" t="s">
        <v>43</v>
      </c>
      <c r="D46" s="27" t="s">
        <v>1700</v>
      </c>
      <c r="E46" s="27" t="s">
        <v>1537</v>
      </c>
      <c r="F46" s="27" t="s">
        <v>1538</v>
      </c>
      <c r="G46" s="27" t="s">
        <v>1618</v>
      </c>
      <c r="H46" s="27" t="s">
        <v>1539</v>
      </c>
      <c r="I46" s="27" t="s">
        <v>1540</v>
      </c>
      <c r="J46" s="27" t="s">
        <v>1541</v>
      </c>
      <c r="K46" s="27" t="s">
        <v>1542</v>
      </c>
      <c r="L46" s="27" t="s">
        <v>1543</v>
      </c>
      <c r="M46" s="27" t="s">
        <v>1544</v>
      </c>
      <c r="N46" s="27" t="s">
        <v>1545</v>
      </c>
      <c r="O46" s="27" t="s">
        <v>1546</v>
      </c>
      <c r="P46" s="27" t="s">
        <v>1755</v>
      </c>
      <c r="Q46" s="27" t="s">
        <v>1548</v>
      </c>
    </row>
    <row r="47" spans="1:17" ht="119" x14ac:dyDescent="0.2">
      <c r="A47" s="56" t="s">
        <v>238</v>
      </c>
      <c r="B47" s="27" t="s">
        <v>1688</v>
      </c>
      <c r="C47" s="27" t="s">
        <v>234</v>
      </c>
      <c r="D47" s="27" t="s">
        <v>1699</v>
      </c>
      <c r="E47" s="27" t="s">
        <v>1551</v>
      </c>
      <c r="F47" s="27" t="s">
        <v>1749</v>
      </c>
      <c r="G47" s="27" t="s">
        <v>1617</v>
      </c>
      <c r="H47" s="27" t="s">
        <v>1553</v>
      </c>
      <c r="I47" s="27" t="s">
        <v>1554</v>
      </c>
      <c r="J47" s="27" t="s">
        <v>1555</v>
      </c>
      <c r="K47" s="27" t="s">
        <v>1556</v>
      </c>
      <c r="L47" s="27" t="s">
        <v>1557</v>
      </c>
      <c r="M47" s="27" t="s">
        <v>1558</v>
      </c>
      <c r="N47" s="27" t="s">
        <v>1559</v>
      </c>
      <c r="O47" s="27" t="s">
        <v>235</v>
      </c>
      <c r="P47" s="27" t="s">
        <v>1560</v>
      </c>
      <c r="Q47" s="27" t="s">
        <v>1561</v>
      </c>
    </row>
    <row r="48" spans="1:17" ht="85" x14ac:dyDescent="0.2">
      <c r="A48" s="56" t="s">
        <v>238</v>
      </c>
      <c r="B48" s="27" t="s">
        <v>1688</v>
      </c>
      <c r="C48" s="27" t="s">
        <v>44</v>
      </c>
      <c r="D48" s="27" t="s">
        <v>1562</v>
      </c>
      <c r="E48" s="27" t="s">
        <v>1563</v>
      </c>
      <c r="F48" s="27" t="s">
        <v>1696</v>
      </c>
      <c r="G48" s="27" t="s">
        <v>1616</v>
      </c>
      <c r="H48" s="27" t="s">
        <v>1565</v>
      </c>
      <c r="I48" s="27" t="s">
        <v>237</v>
      </c>
      <c r="J48" s="27" t="s">
        <v>1566</v>
      </c>
      <c r="K48" s="27" t="s">
        <v>1567</v>
      </c>
      <c r="L48" s="27" t="s">
        <v>1568</v>
      </c>
      <c r="M48" s="27" t="s">
        <v>1569</v>
      </c>
      <c r="N48" s="27" t="s">
        <v>1570</v>
      </c>
      <c r="O48" s="27" t="s">
        <v>235</v>
      </c>
      <c r="P48" s="27" t="s">
        <v>1571</v>
      </c>
      <c r="Q48" s="27" t="s">
        <v>1572</v>
      </c>
    </row>
    <row r="49" spans="1:17" ht="136" x14ac:dyDescent="0.2">
      <c r="A49" s="26" t="s">
        <v>45</v>
      </c>
      <c r="B49" s="27" t="s">
        <v>1809</v>
      </c>
      <c r="C49" s="27" t="s">
        <v>928</v>
      </c>
      <c r="D49" s="27" t="s">
        <v>1698</v>
      </c>
      <c r="E49" s="27" t="s">
        <v>1575</v>
      </c>
      <c r="F49" s="27" t="s">
        <v>1695</v>
      </c>
      <c r="G49" s="27" t="s">
        <v>1666</v>
      </c>
      <c r="H49" s="27" t="s">
        <v>1694</v>
      </c>
      <c r="I49" s="27" t="s">
        <v>1578</v>
      </c>
      <c r="J49" s="27" t="s">
        <v>1579</v>
      </c>
      <c r="K49" s="27" t="s">
        <v>1580</v>
      </c>
      <c r="L49" s="27" t="s">
        <v>1581</v>
      </c>
      <c r="M49" s="27" t="s">
        <v>1582</v>
      </c>
      <c r="N49" s="27" t="s">
        <v>1583</v>
      </c>
      <c r="O49" s="27" t="s">
        <v>1584</v>
      </c>
      <c r="P49" s="27" t="s">
        <v>1585</v>
      </c>
      <c r="Q49" s="27" t="s">
        <v>1586</v>
      </c>
    </row>
    <row r="50" spans="1:17" ht="102" x14ac:dyDescent="0.2">
      <c r="A50" s="54" t="s">
        <v>317</v>
      </c>
      <c r="B50" s="28" t="s">
        <v>1689</v>
      </c>
      <c r="C50" s="28" t="s">
        <v>46</v>
      </c>
      <c r="D50" s="28" t="s">
        <v>1697</v>
      </c>
      <c r="E50" s="28" t="s">
        <v>1589</v>
      </c>
      <c r="F50" s="28" t="s">
        <v>1590</v>
      </c>
      <c r="G50" s="28" t="s">
        <v>1667</v>
      </c>
      <c r="H50" s="28" t="s">
        <v>1692</v>
      </c>
      <c r="I50" s="28" t="s">
        <v>300</v>
      </c>
      <c r="J50" s="28" t="s">
        <v>301</v>
      </c>
      <c r="K50" s="28" t="s">
        <v>1592</v>
      </c>
      <c r="L50" s="28" t="s">
        <v>1593</v>
      </c>
      <c r="M50" s="28" t="s">
        <v>1594</v>
      </c>
      <c r="N50" s="28" t="s">
        <v>1595</v>
      </c>
      <c r="O50" s="28" t="s">
        <v>235</v>
      </c>
      <c r="P50" s="28" t="s">
        <v>1756</v>
      </c>
      <c r="Q50" s="28" t="s">
        <v>1597</v>
      </c>
    </row>
    <row r="51" spans="1:17" ht="120" thickBot="1" x14ac:dyDescent="0.25">
      <c r="A51" s="54" t="s">
        <v>239</v>
      </c>
      <c r="B51" s="30" t="s">
        <v>1690</v>
      </c>
      <c r="C51" s="30" t="s">
        <v>47</v>
      </c>
      <c r="D51" s="30" t="s">
        <v>1691</v>
      </c>
      <c r="E51" s="30" t="s">
        <v>1781</v>
      </c>
      <c r="F51" s="30" t="s">
        <v>1737</v>
      </c>
      <c r="G51" s="30" t="s">
        <v>1614</v>
      </c>
      <c r="H51" s="30" t="s">
        <v>1693</v>
      </c>
      <c r="I51" s="30" t="s">
        <v>1603</v>
      </c>
      <c r="J51" s="30" t="s">
        <v>1604</v>
      </c>
      <c r="K51" s="30" t="s">
        <v>1605</v>
      </c>
      <c r="L51" s="30" t="s">
        <v>1606</v>
      </c>
      <c r="M51" s="30" t="s">
        <v>1607</v>
      </c>
      <c r="N51" s="30" t="s">
        <v>1758</v>
      </c>
      <c r="O51" s="30" t="s">
        <v>1609</v>
      </c>
      <c r="P51" s="30" t="s">
        <v>1757</v>
      </c>
      <c r="Q51" s="30" t="s">
        <v>1611</v>
      </c>
    </row>
    <row r="52" spans="1:17" x14ac:dyDescent="0.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1:17" x14ac:dyDescent="0.2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6617-BE1F-F24F-A6CE-51C970A9780B}">
  <dimension ref="A1:G56"/>
  <sheetViews>
    <sheetView topLeftCell="E1" zoomScale="125" workbookViewId="0">
      <selection activeCell="G3" sqref="G3"/>
    </sheetView>
  </sheetViews>
  <sheetFormatPr baseColWidth="10" defaultRowHeight="18" x14ac:dyDescent="0.2"/>
  <cols>
    <col min="1" max="1" width="27" style="71" customWidth="1"/>
    <col min="2" max="2" width="22.33203125" style="71" customWidth="1"/>
    <col min="3" max="3" width="103.33203125" style="72" customWidth="1"/>
    <col min="4" max="4" width="15.6640625" style="72" customWidth="1"/>
    <col min="5" max="5" width="45.5" style="70" customWidth="1"/>
    <col min="7" max="7" width="42.83203125" style="98" customWidth="1"/>
  </cols>
  <sheetData>
    <row r="1" spans="1:7" s="67" customFormat="1" ht="58" thickBot="1" x14ac:dyDescent="0.25">
      <c r="A1" s="74" t="s">
        <v>1813</v>
      </c>
      <c r="B1" s="74" t="s">
        <v>1812</v>
      </c>
      <c r="C1" s="74" t="s">
        <v>1811</v>
      </c>
      <c r="D1" s="74" t="s">
        <v>1810</v>
      </c>
      <c r="E1" s="74" t="s">
        <v>51</v>
      </c>
      <c r="G1" s="86" t="s">
        <v>1842</v>
      </c>
    </row>
    <row r="2" spans="1:7" ht="34" x14ac:dyDescent="0.2">
      <c r="A2" s="75">
        <v>1</v>
      </c>
      <c r="B2" s="75">
        <v>10</v>
      </c>
      <c r="C2" s="68" t="s">
        <v>52</v>
      </c>
      <c r="D2" s="69">
        <v>2007</v>
      </c>
      <c r="E2" s="80" t="s">
        <v>54</v>
      </c>
      <c r="G2" s="87" t="s">
        <v>1852</v>
      </c>
    </row>
    <row r="3" spans="1:7" ht="34" x14ac:dyDescent="0.2">
      <c r="A3" s="75">
        <v>2</v>
      </c>
      <c r="B3" s="75">
        <v>1</v>
      </c>
      <c r="C3" s="68" t="s">
        <v>55</v>
      </c>
      <c r="D3" s="69">
        <v>2008</v>
      </c>
      <c r="E3" s="80" t="s">
        <v>57</v>
      </c>
      <c r="G3" s="88" t="s">
        <v>1851</v>
      </c>
    </row>
    <row r="4" spans="1:7" ht="34" x14ac:dyDescent="0.2">
      <c r="A4" s="75">
        <v>3</v>
      </c>
      <c r="B4" s="75">
        <v>31</v>
      </c>
      <c r="C4" s="68" t="s">
        <v>58</v>
      </c>
      <c r="D4" s="69">
        <v>2009</v>
      </c>
      <c r="E4" s="80" t="s">
        <v>60</v>
      </c>
      <c r="G4" s="89" t="s">
        <v>1850</v>
      </c>
    </row>
    <row r="5" spans="1:7" ht="51" x14ac:dyDescent="0.2">
      <c r="A5" s="75">
        <v>4</v>
      </c>
      <c r="B5" s="75">
        <v>52</v>
      </c>
      <c r="C5" s="68" t="s">
        <v>61</v>
      </c>
      <c r="D5" s="69">
        <v>2011</v>
      </c>
      <c r="E5" s="80" t="s">
        <v>63</v>
      </c>
      <c r="G5" s="90" t="s">
        <v>1849</v>
      </c>
    </row>
    <row r="6" spans="1:7" ht="85" x14ac:dyDescent="0.2">
      <c r="A6" s="75">
        <v>5</v>
      </c>
      <c r="B6" s="75">
        <v>26</v>
      </c>
      <c r="C6" s="68" t="s">
        <v>64</v>
      </c>
      <c r="D6" s="69">
        <v>2014</v>
      </c>
      <c r="E6" s="80" t="s">
        <v>66</v>
      </c>
      <c r="G6" s="91" t="s">
        <v>1848</v>
      </c>
    </row>
    <row r="7" spans="1:7" ht="34" x14ac:dyDescent="0.2">
      <c r="A7" s="75">
        <v>6</v>
      </c>
      <c r="B7" s="75">
        <v>9</v>
      </c>
      <c r="C7" s="68" t="s">
        <v>67</v>
      </c>
      <c r="D7" s="69">
        <v>2015</v>
      </c>
      <c r="E7" s="80" t="s">
        <v>69</v>
      </c>
      <c r="G7" s="92" t="s">
        <v>1847</v>
      </c>
    </row>
    <row r="8" spans="1:7" ht="19" x14ac:dyDescent="0.2">
      <c r="A8" s="75">
        <v>7</v>
      </c>
      <c r="B8" s="75">
        <v>47</v>
      </c>
      <c r="C8" s="68" t="s">
        <v>70</v>
      </c>
      <c r="D8" s="69">
        <v>2018</v>
      </c>
      <c r="E8" s="80" t="s">
        <v>72</v>
      </c>
      <c r="G8" s="93" t="s">
        <v>1846</v>
      </c>
    </row>
    <row r="9" spans="1:7" ht="19" x14ac:dyDescent="0.2">
      <c r="A9" s="75">
        <v>8</v>
      </c>
      <c r="B9" s="75">
        <v>37</v>
      </c>
      <c r="C9" s="68" t="s">
        <v>73</v>
      </c>
      <c r="D9" s="69">
        <v>2018</v>
      </c>
      <c r="E9" s="80" t="s">
        <v>75</v>
      </c>
      <c r="G9" s="94" t="s">
        <v>1841</v>
      </c>
    </row>
    <row r="10" spans="1:7" ht="34" x14ac:dyDescent="0.2">
      <c r="A10" s="75">
        <v>10</v>
      </c>
      <c r="B10" s="75">
        <v>24</v>
      </c>
      <c r="C10" s="68" t="s">
        <v>76</v>
      </c>
      <c r="D10" s="69">
        <v>2019</v>
      </c>
      <c r="E10" s="80" t="s">
        <v>78</v>
      </c>
      <c r="G10" s="95" t="s">
        <v>1843</v>
      </c>
    </row>
    <row r="11" spans="1:7" ht="35" thickBot="1" x14ac:dyDescent="0.25">
      <c r="A11" s="75">
        <f>A10+1</f>
        <v>11</v>
      </c>
      <c r="B11" s="75">
        <v>7</v>
      </c>
      <c r="C11" s="68" t="s">
        <v>79</v>
      </c>
      <c r="D11" s="69">
        <v>2020</v>
      </c>
      <c r="E11" s="80" t="s">
        <v>81</v>
      </c>
      <c r="G11" s="96" t="s">
        <v>1844</v>
      </c>
    </row>
    <row r="12" spans="1:7" ht="52" thickBot="1" x14ac:dyDescent="0.25">
      <c r="A12" s="75">
        <f t="shared" ref="A12:A50" si="0">A11+1</f>
        <v>12</v>
      </c>
      <c r="B12" s="75">
        <v>50</v>
      </c>
      <c r="C12" s="68" t="s">
        <v>82</v>
      </c>
      <c r="D12" s="69">
        <v>2020</v>
      </c>
      <c r="E12" s="80" t="s">
        <v>84</v>
      </c>
      <c r="G12" s="97" t="s">
        <v>1845</v>
      </c>
    </row>
    <row r="13" spans="1:7" ht="34" x14ac:dyDescent="0.2">
      <c r="A13" s="75">
        <f t="shared" si="0"/>
        <v>13</v>
      </c>
      <c r="B13" s="75">
        <v>2</v>
      </c>
      <c r="C13" s="68" t="s">
        <v>85</v>
      </c>
      <c r="D13" s="69">
        <v>2020</v>
      </c>
      <c r="E13" s="80" t="s">
        <v>87</v>
      </c>
    </row>
    <row r="14" spans="1:7" ht="51" x14ac:dyDescent="0.2">
      <c r="A14" s="75">
        <v>15</v>
      </c>
      <c r="B14" s="75">
        <v>33</v>
      </c>
      <c r="C14" s="68" t="s">
        <v>88</v>
      </c>
      <c r="D14" s="69">
        <v>2021</v>
      </c>
      <c r="E14" s="80" t="s">
        <v>90</v>
      </c>
    </row>
    <row r="15" spans="1:7" ht="34" x14ac:dyDescent="0.2">
      <c r="A15" s="75">
        <v>17</v>
      </c>
      <c r="B15" s="75">
        <v>23</v>
      </c>
      <c r="C15" s="68" t="s">
        <v>91</v>
      </c>
      <c r="D15" s="69">
        <v>2021</v>
      </c>
      <c r="E15" s="80" t="s">
        <v>93</v>
      </c>
    </row>
    <row r="16" spans="1:7" ht="34" x14ac:dyDescent="0.2">
      <c r="A16" s="75">
        <f t="shared" si="0"/>
        <v>18</v>
      </c>
      <c r="B16" s="75">
        <v>17</v>
      </c>
      <c r="C16" s="68" t="s">
        <v>94</v>
      </c>
      <c r="D16" s="69">
        <v>2021</v>
      </c>
      <c r="E16" s="80" t="s">
        <v>96</v>
      </c>
    </row>
    <row r="17" spans="1:5" x14ac:dyDescent="0.2">
      <c r="A17" s="75">
        <f t="shared" si="0"/>
        <v>19</v>
      </c>
      <c r="B17" s="75">
        <v>38</v>
      </c>
      <c r="C17" s="68" t="s">
        <v>97</v>
      </c>
      <c r="D17" s="69">
        <v>2021</v>
      </c>
      <c r="E17" s="80" t="s">
        <v>99</v>
      </c>
    </row>
    <row r="18" spans="1:5" ht="34" x14ac:dyDescent="0.2">
      <c r="A18" s="75">
        <f t="shared" si="0"/>
        <v>20</v>
      </c>
      <c r="B18" s="75">
        <v>36</v>
      </c>
      <c r="C18" s="68" t="s">
        <v>100</v>
      </c>
      <c r="D18" s="69">
        <v>2022</v>
      </c>
      <c r="E18" s="80" t="s">
        <v>102</v>
      </c>
    </row>
    <row r="19" spans="1:5" x14ac:dyDescent="0.2">
      <c r="A19" s="75">
        <f t="shared" si="0"/>
        <v>21</v>
      </c>
      <c r="B19" s="75">
        <v>20</v>
      </c>
      <c r="C19" s="68" t="s">
        <v>103</v>
      </c>
      <c r="D19" s="69">
        <v>2022</v>
      </c>
      <c r="E19" s="80" t="s">
        <v>105</v>
      </c>
    </row>
    <row r="20" spans="1:5" x14ac:dyDescent="0.2">
      <c r="A20" s="75">
        <f t="shared" si="0"/>
        <v>22</v>
      </c>
      <c r="B20" s="75">
        <v>41</v>
      </c>
      <c r="C20" s="68" t="s">
        <v>106</v>
      </c>
      <c r="D20" s="69">
        <v>2022</v>
      </c>
      <c r="E20" s="80" t="s">
        <v>108</v>
      </c>
    </row>
    <row r="21" spans="1:5" ht="51" x14ac:dyDescent="0.2">
      <c r="A21" s="75">
        <f t="shared" si="0"/>
        <v>23</v>
      </c>
      <c r="B21" s="75">
        <v>4</v>
      </c>
      <c r="C21" s="68" t="s">
        <v>109</v>
      </c>
      <c r="D21" s="69">
        <v>2022</v>
      </c>
      <c r="E21" s="80" t="s">
        <v>111</v>
      </c>
    </row>
    <row r="22" spans="1:5" ht="34" x14ac:dyDescent="0.2">
      <c r="A22" s="76">
        <f t="shared" si="0"/>
        <v>24</v>
      </c>
      <c r="B22" s="75">
        <v>12</v>
      </c>
      <c r="C22" s="68" t="s">
        <v>112</v>
      </c>
      <c r="D22" s="69">
        <v>2022</v>
      </c>
      <c r="E22" s="80" t="s">
        <v>114</v>
      </c>
    </row>
    <row r="23" spans="1:5" ht="34" x14ac:dyDescent="0.2">
      <c r="A23" s="75">
        <f t="shared" si="0"/>
        <v>25</v>
      </c>
      <c r="B23" s="75">
        <v>11</v>
      </c>
      <c r="C23" s="68" t="s">
        <v>115</v>
      </c>
      <c r="D23" s="69">
        <v>2022</v>
      </c>
      <c r="E23" s="80" t="s">
        <v>117</v>
      </c>
    </row>
    <row r="24" spans="1:5" ht="34" x14ac:dyDescent="0.2">
      <c r="A24" s="75">
        <v>27</v>
      </c>
      <c r="B24" s="75">
        <v>25</v>
      </c>
      <c r="C24" s="68" t="s">
        <v>118</v>
      </c>
      <c r="D24" s="69">
        <v>2022</v>
      </c>
      <c r="E24" s="80" t="s">
        <v>120</v>
      </c>
    </row>
    <row r="25" spans="1:5" x14ac:dyDescent="0.2">
      <c r="A25" s="75">
        <f t="shared" si="0"/>
        <v>28</v>
      </c>
      <c r="B25" s="75">
        <v>42</v>
      </c>
      <c r="C25" s="68" t="s">
        <v>121</v>
      </c>
      <c r="D25" s="69">
        <v>2022</v>
      </c>
      <c r="E25" s="81" t="s">
        <v>123</v>
      </c>
    </row>
    <row r="26" spans="1:5" x14ac:dyDescent="0.2">
      <c r="A26" s="75">
        <v>30</v>
      </c>
      <c r="B26" s="75">
        <v>35</v>
      </c>
      <c r="C26" s="68" t="s">
        <v>124</v>
      </c>
      <c r="D26" s="69">
        <v>2023</v>
      </c>
      <c r="E26" s="80" t="s">
        <v>126</v>
      </c>
    </row>
    <row r="27" spans="1:5" ht="34" x14ac:dyDescent="0.2">
      <c r="A27" s="75">
        <f t="shared" si="0"/>
        <v>31</v>
      </c>
      <c r="B27" s="75">
        <v>53</v>
      </c>
      <c r="C27" s="68" t="s">
        <v>127</v>
      </c>
      <c r="D27" s="69">
        <v>2023</v>
      </c>
      <c r="E27" s="80" t="s">
        <v>129</v>
      </c>
    </row>
    <row r="28" spans="1:5" ht="85" x14ac:dyDescent="0.2">
      <c r="A28" s="75">
        <f t="shared" si="0"/>
        <v>32</v>
      </c>
      <c r="B28" s="75">
        <v>21</v>
      </c>
      <c r="C28" s="68" t="s">
        <v>130</v>
      </c>
      <c r="D28" s="69">
        <v>2023</v>
      </c>
      <c r="E28" s="80" t="s">
        <v>132</v>
      </c>
    </row>
    <row r="29" spans="1:5" ht="34" x14ac:dyDescent="0.2">
      <c r="A29" s="75">
        <f t="shared" si="0"/>
        <v>33</v>
      </c>
      <c r="B29" s="75">
        <v>18</v>
      </c>
      <c r="C29" s="68" t="s">
        <v>133</v>
      </c>
      <c r="D29" s="69">
        <v>2024</v>
      </c>
      <c r="E29" s="80" t="s">
        <v>135</v>
      </c>
    </row>
    <row r="30" spans="1:5" ht="34" x14ac:dyDescent="0.2">
      <c r="A30" s="75">
        <f t="shared" si="0"/>
        <v>34</v>
      </c>
      <c r="B30" s="75">
        <v>49</v>
      </c>
      <c r="C30" s="68" t="s">
        <v>136</v>
      </c>
      <c r="D30" s="69">
        <v>2024</v>
      </c>
      <c r="E30" s="80" t="s">
        <v>138</v>
      </c>
    </row>
    <row r="31" spans="1:5" ht="34" x14ac:dyDescent="0.2">
      <c r="A31" s="75">
        <f t="shared" si="0"/>
        <v>35</v>
      </c>
      <c r="B31" s="75">
        <v>51</v>
      </c>
      <c r="C31" s="68" t="s">
        <v>139</v>
      </c>
      <c r="D31" s="69">
        <v>2024</v>
      </c>
      <c r="E31" s="80" t="s">
        <v>141</v>
      </c>
    </row>
    <row r="32" spans="1:5" x14ac:dyDescent="0.2">
      <c r="A32" s="75">
        <f t="shared" si="0"/>
        <v>36</v>
      </c>
      <c r="B32" s="75">
        <v>16</v>
      </c>
      <c r="C32" s="68" t="s">
        <v>142</v>
      </c>
      <c r="D32" s="69">
        <v>2024</v>
      </c>
      <c r="E32" s="80" t="s">
        <v>144</v>
      </c>
    </row>
    <row r="33" spans="1:5" ht="34" x14ac:dyDescent="0.2">
      <c r="A33" s="75">
        <f t="shared" si="0"/>
        <v>37</v>
      </c>
      <c r="B33" s="75"/>
      <c r="C33" s="68" t="s">
        <v>145</v>
      </c>
      <c r="D33" s="69">
        <v>2024</v>
      </c>
      <c r="E33" s="80" t="s">
        <v>146</v>
      </c>
    </row>
    <row r="34" spans="1:5" ht="51" x14ac:dyDescent="0.2">
      <c r="A34" s="75">
        <f>A33+1</f>
        <v>38</v>
      </c>
      <c r="B34" s="75">
        <v>6</v>
      </c>
      <c r="C34" s="68" t="s">
        <v>147</v>
      </c>
      <c r="D34" s="69">
        <v>2024</v>
      </c>
      <c r="E34" s="81" t="s">
        <v>149</v>
      </c>
    </row>
    <row r="35" spans="1:5" ht="34" x14ac:dyDescent="0.2">
      <c r="A35" s="75">
        <f t="shared" si="0"/>
        <v>39</v>
      </c>
      <c r="B35" s="75">
        <v>27</v>
      </c>
      <c r="C35" s="68" t="s">
        <v>150</v>
      </c>
      <c r="D35" s="69">
        <v>2024</v>
      </c>
      <c r="E35" s="80" t="s">
        <v>152</v>
      </c>
    </row>
    <row r="36" spans="1:5" ht="51" x14ac:dyDescent="0.2">
      <c r="A36" s="75">
        <f t="shared" si="0"/>
        <v>40</v>
      </c>
      <c r="B36" s="75">
        <v>39</v>
      </c>
      <c r="C36" s="68" t="s">
        <v>153</v>
      </c>
      <c r="D36" s="69">
        <v>2024</v>
      </c>
      <c r="E36" s="80" t="s">
        <v>155</v>
      </c>
    </row>
    <row r="37" spans="1:5" x14ac:dyDescent="0.2">
      <c r="A37" s="75">
        <f t="shared" si="0"/>
        <v>41</v>
      </c>
      <c r="B37" s="75">
        <v>29</v>
      </c>
      <c r="C37" s="68" t="s">
        <v>156</v>
      </c>
      <c r="D37" s="69">
        <v>2025</v>
      </c>
      <c r="E37" s="80" t="s">
        <v>158</v>
      </c>
    </row>
    <row r="38" spans="1:5" ht="51" x14ac:dyDescent="0.2">
      <c r="A38" s="75">
        <f t="shared" si="0"/>
        <v>42</v>
      </c>
      <c r="B38" s="75">
        <v>14</v>
      </c>
      <c r="C38" s="68" t="s">
        <v>159</v>
      </c>
      <c r="D38" s="69">
        <v>2025</v>
      </c>
      <c r="E38" s="80" t="s">
        <v>161</v>
      </c>
    </row>
    <row r="39" spans="1:5" ht="34" x14ac:dyDescent="0.2">
      <c r="A39" s="75">
        <f t="shared" si="0"/>
        <v>43</v>
      </c>
      <c r="B39" s="75">
        <v>34</v>
      </c>
      <c r="C39" s="68" t="s">
        <v>162</v>
      </c>
      <c r="D39" s="69">
        <v>2025</v>
      </c>
      <c r="E39" s="80" t="s">
        <v>164</v>
      </c>
    </row>
    <row r="40" spans="1:5" ht="34" x14ac:dyDescent="0.2">
      <c r="A40" s="75">
        <f t="shared" si="0"/>
        <v>44</v>
      </c>
      <c r="B40" s="75">
        <v>40</v>
      </c>
      <c r="C40" s="68" t="s">
        <v>165</v>
      </c>
      <c r="D40" s="69">
        <v>2025</v>
      </c>
      <c r="E40" s="80" t="s">
        <v>167</v>
      </c>
    </row>
    <row r="41" spans="1:5" ht="34" x14ac:dyDescent="0.2">
      <c r="A41" s="75">
        <f t="shared" si="0"/>
        <v>45</v>
      </c>
      <c r="B41" s="75">
        <v>32</v>
      </c>
      <c r="C41" s="68" t="s">
        <v>168</v>
      </c>
      <c r="D41" s="69">
        <v>2025</v>
      </c>
      <c r="E41" s="80" t="s">
        <v>170</v>
      </c>
    </row>
    <row r="42" spans="1:5" ht="68" x14ac:dyDescent="0.2">
      <c r="A42" s="75">
        <f t="shared" si="0"/>
        <v>46</v>
      </c>
      <c r="B42" s="75">
        <v>43</v>
      </c>
      <c r="C42" s="68" t="s">
        <v>171</v>
      </c>
      <c r="D42" s="69">
        <v>2025</v>
      </c>
      <c r="E42" s="80" t="s">
        <v>173</v>
      </c>
    </row>
    <row r="43" spans="1:5" ht="34" x14ac:dyDescent="0.2">
      <c r="A43" s="75">
        <f t="shared" si="0"/>
        <v>47</v>
      </c>
      <c r="B43" s="75">
        <v>3</v>
      </c>
      <c r="C43" s="68" t="s">
        <v>174</v>
      </c>
      <c r="D43" s="69">
        <v>2025</v>
      </c>
      <c r="E43" s="80" t="s">
        <v>176</v>
      </c>
    </row>
    <row r="44" spans="1:5" ht="34" x14ac:dyDescent="0.2">
      <c r="A44" s="75">
        <f t="shared" si="0"/>
        <v>48</v>
      </c>
      <c r="B44" s="75">
        <v>54</v>
      </c>
      <c r="C44" s="68" t="s">
        <v>177</v>
      </c>
      <c r="D44" s="69">
        <v>2026</v>
      </c>
      <c r="E44" s="80" t="s">
        <v>179</v>
      </c>
    </row>
    <row r="45" spans="1:5" ht="34" x14ac:dyDescent="0.2">
      <c r="A45" s="75">
        <f t="shared" si="0"/>
        <v>49</v>
      </c>
      <c r="B45" s="75">
        <v>48</v>
      </c>
      <c r="C45" s="68" t="s">
        <v>180</v>
      </c>
      <c r="D45" s="69">
        <v>2026</v>
      </c>
      <c r="E45" s="80" t="s">
        <v>182</v>
      </c>
    </row>
    <row r="46" spans="1:5" ht="34" x14ac:dyDescent="0.2">
      <c r="A46" s="75">
        <f t="shared" si="0"/>
        <v>50</v>
      </c>
      <c r="B46" s="75">
        <v>19</v>
      </c>
      <c r="C46" s="68" t="s">
        <v>183</v>
      </c>
      <c r="D46" s="69">
        <v>2026</v>
      </c>
      <c r="E46" s="80" t="s">
        <v>185</v>
      </c>
    </row>
    <row r="47" spans="1:5" ht="34" x14ac:dyDescent="0.2">
      <c r="A47" s="75">
        <f t="shared" si="0"/>
        <v>51</v>
      </c>
      <c r="B47" s="75">
        <v>5</v>
      </c>
      <c r="C47" s="68" t="s">
        <v>186</v>
      </c>
      <c r="D47" s="69">
        <v>2026</v>
      </c>
      <c r="E47" s="80" t="s">
        <v>188</v>
      </c>
    </row>
    <row r="48" spans="1:5" ht="34" x14ac:dyDescent="0.2">
      <c r="A48" s="75">
        <f t="shared" si="0"/>
        <v>52</v>
      </c>
      <c r="B48" s="75">
        <v>46</v>
      </c>
      <c r="C48" s="68" t="s">
        <v>189</v>
      </c>
      <c r="D48" s="69">
        <v>2026</v>
      </c>
      <c r="E48" s="80" t="s">
        <v>191</v>
      </c>
    </row>
    <row r="49" spans="1:7" ht="34" x14ac:dyDescent="0.2">
      <c r="A49" s="75">
        <f t="shared" si="0"/>
        <v>53</v>
      </c>
      <c r="B49" s="75">
        <v>30</v>
      </c>
      <c r="C49" s="68" t="s">
        <v>192</v>
      </c>
      <c r="D49" s="69">
        <v>2026</v>
      </c>
      <c r="E49" s="80" t="s">
        <v>194</v>
      </c>
    </row>
    <row r="50" spans="1:7" ht="34" x14ac:dyDescent="0.2">
      <c r="A50" s="75">
        <f t="shared" si="0"/>
        <v>54</v>
      </c>
      <c r="B50" s="75">
        <v>45</v>
      </c>
      <c r="C50" s="68" t="s">
        <v>195</v>
      </c>
      <c r="D50" s="69">
        <v>2022</v>
      </c>
      <c r="E50" s="80" t="s">
        <v>197</v>
      </c>
    </row>
    <row r="51" spans="1:7" s="73" customFormat="1" ht="34" x14ac:dyDescent="0.2">
      <c r="A51" s="76">
        <v>57</v>
      </c>
      <c r="B51" s="76">
        <v>15</v>
      </c>
      <c r="C51" s="77" t="s">
        <v>198</v>
      </c>
      <c r="D51" s="82">
        <v>2024</v>
      </c>
      <c r="E51" s="83" t="s">
        <v>200</v>
      </c>
      <c r="G51" s="99"/>
    </row>
    <row r="52" spans="1:7" s="73" customFormat="1" ht="34" x14ac:dyDescent="0.2">
      <c r="A52" s="76">
        <v>58</v>
      </c>
      <c r="B52" s="76">
        <v>13</v>
      </c>
      <c r="C52" s="78" t="s">
        <v>201</v>
      </c>
      <c r="D52" s="82">
        <v>2026</v>
      </c>
      <c r="E52" s="83" t="s">
        <v>203</v>
      </c>
      <c r="G52" s="99"/>
    </row>
    <row r="53" spans="1:7" ht="34" x14ac:dyDescent="0.2">
      <c r="A53" s="75">
        <v>59</v>
      </c>
      <c r="B53" s="75">
        <v>28</v>
      </c>
      <c r="C53" s="68" t="s">
        <v>204</v>
      </c>
      <c r="D53" s="69">
        <v>2024</v>
      </c>
      <c r="E53" s="80" t="s">
        <v>206</v>
      </c>
    </row>
    <row r="54" spans="1:7" ht="34" x14ac:dyDescent="0.2">
      <c r="A54" s="75">
        <v>60</v>
      </c>
      <c r="B54" s="75">
        <v>22</v>
      </c>
      <c r="C54" s="68" t="s">
        <v>207</v>
      </c>
      <c r="D54" s="69">
        <v>2026</v>
      </c>
      <c r="E54" s="80" t="s">
        <v>208</v>
      </c>
    </row>
    <row r="55" spans="1:7" ht="34" x14ac:dyDescent="0.2">
      <c r="A55" s="75">
        <v>61</v>
      </c>
      <c r="B55" s="75">
        <v>44</v>
      </c>
      <c r="C55" s="79" t="s">
        <v>209</v>
      </c>
      <c r="D55" s="69">
        <v>2020</v>
      </c>
      <c r="E55" s="80" t="s">
        <v>210</v>
      </c>
    </row>
    <row r="56" spans="1:7" ht="34" x14ac:dyDescent="0.2">
      <c r="A56" s="75">
        <v>62</v>
      </c>
      <c r="B56" s="69"/>
      <c r="C56" s="79" t="s">
        <v>878</v>
      </c>
      <c r="D56" s="69">
        <v>2020</v>
      </c>
      <c r="E56" s="80" t="s">
        <v>879</v>
      </c>
    </row>
  </sheetData>
  <hyperlinks>
    <hyperlink ref="E34" r:id="rId1" xr:uid="{A52F3E33-2D16-3044-AC06-FF7AECE67D38}"/>
    <hyperlink ref="E25" r:id="rId2" xr:uid="{E1DD8FB0-8662-3D43-BC47-ED4E1E0D982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30C6-17B4-1A45-A431-E27A5CAD0F60}">
  <dimension ref="A1:AP55"/>
  <sheetViews>
    <sheetView workbookViewId="0">
      <selection activeCell="B4" sqref="B4"/>
    </sheetView>
  </sheetViews>
  <sheetFormatPr baseColWidth="10" defaultRowHeight="16" x14ac:dyDescent="0.2"/>
  <cols>
    <col min="1" max="1" width="21.33203125" style="28" customWidth="1"/>
    <col min="2" max="17" width="32.83203125" style="28" customWidth="1"/>
    <col min="24" max="24" width="21.5" customWidth="1"/>
    <col min="25" max="25" width="26.33203125" customWidth="1"/>
  </cols>
  <sheetData>
    <row r="1" spans="1:42" ht="40" x14ac:dyDescent="0.2">
      <c r="A1" s="1" t="s">
        <v>224</v>
      </c>
      <c r="B1" s="2" t="s">
        <v>212</v>
      </c>
      <c r="C1" s="2" t="s">
        <v>638</v>
      </c>
      <c r="D1" s="2" t="s">
        <v>211</v>
      </c>
      <c r="E1" s="2" t="s">
        <v>225</v>
      </c>
      <c r="F1" s="2" t="s">
        <v>0</v>
      </c>
      <c r="G1" s="2" t="s">
        <v>303</v>
      </c>
      <c r="H1" s="2" t="s">
        <v>304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302</v>
      </c>
      <c r="O1" s="2" t="s">
        <v>218</v>
      </c>
      <c r="P1" s="2" t="s">
        <v>219</v>
      </c>
      <c r="Q1" s="2" t="s">
        <v>220</v>
      </c>
      <c r="X1" s="45" t="s">
        <v>981</v>
      </c>
      <c r="Y1" s="62" t="s">
        <v>982</v>
      </c>
    </row>
    <row r="2" spans="1:42" ht="238" x14ac:dyDescent="0.2">
      <c r="A2" s="61" t="s">
        <v>230</v>
      </c>
      <c r="B2" s="4" t="s">
        <v>983</v>
      </c>
      <c r="C2" s="4" t="s">
        <v>221</v>
      </c>
      <c r="D2" s="4" t="s">
        <v>984</v>
      </c>
      <c r="E2" s="4" t="s">
        <v>985</v>
      </c>
      <c r="F2" s="4" t="s">
        <v>986</v>
      </c>
      <c r="G2" s="4" t="s">
        <v>987</v>
      </c>
      <c r="H2" s="4" t="s">
        <v>988</v>
      </c>
      <c r="I2" s="4" t="s">
        <v>989</v>
      </c>
      <c r="J2" s="4" t="s">
        <v>990</v>
      </c>
      <c r="K2" s="4" t="s">
        <v>991</v>
      </c>
      <c r="L2" s="4" t="s">
        <v>992</v>
      </c>
      <c r="M2" s="4" t="s">
        <v>993</v>
      </c>
      <c r="N2" s="4" t="s">
        <v>994</v>
      </c>
      <c r="O2" s="4" t="s">
        <v>995</v>
      </c>
      <c r="P2" s="4" t="s">
        <v>996</v>
      </c>
      <c r="Q2" s="4" t="s">
        <v>997</v>
      </c>
      <c r="X2" s="36">
        <v>1</v>
      </c>
      <c r="Y2" s="63">
        <v>10</v>
      </c>
      <c r="AA2" t="str" cm="1">
        <f t="array" ref="AA2">IFERROR(_xlfn.LET(_xlpm.txt,B2,_xlpm.inside,MID(_xlpm.txt,FIND("[",_xlpm.txt)+1,FIND("]",_xlpm.txt)-FIND("[",_xlpm.txt)-1),_xlpm.nums,VALUE(_xlfn.TEXTSPLIT(_xlpm.inside,",")),_xlpm.mapped,_xlfn.XLOOKUP(_xlpm.nums,$X$2:$X$100,$Y$2:$Y$100),SUBSTITUTE(_xlpm.txt,"["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"]")),B2)</f>
        <v>Hematite (Fe2O3), magnetite (Fe3O4), limonite, siderite [34,46,4]</v>
      </c>
      <c r="AB2" t="str" cm="1">
        <f t="array" ref="AB2">IFERROR(_xlfn.LET(_xlpm.txt,C2,_xlpm.inside,MID(_xlpm.txt,FIND("[",_xlpm.txt)+1,FIND("]",_xlpm.txt)-FIND("[",_xlpm.txt)-1),_xlpm.nums,VALUE(_xlfn.TEXTSPLIT(_xlpm.inside,",")),_xlpm.mapped,_xlfn.XLOOKUP(_xlpm.nums,$X$2:$X$100,$Y$2:$Y$100),SUBSTITUTE(_xlpm.txt,"["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"]")),C2)</f>
        <v xml:space="preserve">Blast furnace (BF) slag </v>
      </c>
      <c r="AC2" t="str" cm="1">
        <f t="array" ref="AC2">IFERROR(_xlfn.LET(_xlpm.txt,D2,_xlpm.inside,MID(_xlpm.txt,FIND("[",_xlpm.txt)+1,FIND("]",_xlpm.txt)-FIND("[",_xlpm.txt)-1),_xlpm.nums,VALUE(_xlfn.TEXTSPLIT(_xlpm.inside,",")),_xlpm.mapped,_xlfn.XLOOKUP(_xlpm.nums,$X$2:$X$100,$Y$2:$Y$100),SUBSTITUTE(_xlpm.txt,"["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"]")),D2)</f>
        <v>Ironmaking – blast furnace (BF) [24,47,46]</v>
      </c>
      <c r="AD2" t="str" cm="1">
        <f t="array" ref="AD2">IFERROR(_xlfn.LET(_xlpm.txt,E2,_xlpm.inside,MID(_xlpm.txt,FIND("[",_xlpm.txt)+1,FIND("]",_xlpm.txt)-FIND("[",_xlpm.txt)-1),_xlpm.nums,VALUE(_xlfn.TEXTSPLIT(_xlpm.inside,",")),_xlpm.mapped,_xlfn.XLOOKUP(_xlpm.nums,$X$2:$X$100,$Y$2:$Y$100),SUBSTITUTE(_xlpm.txt,"["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"]")),E2)</f>
        <v>Wet or air granulation to form glassy slag, produces latent hydraulic reactivity [34]
Mechanical activation (i.e., grinding) to produce Supplementary Cementitious Material (SCM)  [38, 46]
Accelerated carbonation with carbon dioxide sequestration leading to stabilisation of reactive Ca phases [38]
Thermal treatment for inducing crystallisation process for glass ceramics applications [34]
Crushing and screening for aggregate production [34]</v>
      </c>
      <c r="AE2" t="str" cm="1">
        <f t="array" ref="AE2">IFERROR(_xlfn.LET(_xlpm.txt,F2,_xlpm.inside,MID(_xlpm.txt,FIND("[",_xlpm.txt)+1,FIND("]",_xlpm.txt)-FIND("[",_xlpm.txt)-1),_xlpm.nums,VALUE(_xlfn.TEXTSPLIT(_xlpm.inside,",")),_xlpm.mapped,_xlfn.XLOOKUP(_xlpm.nums,$X$2:$X$100,$Y$2:$Y$100),SUBSTITUTE(_xlpm.txt,"["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"]")),F2)</f>
        <v>Variability in phase ratio, potential leaching of trace elements [47]</v>
      </c>
      <c r="AF2" t="str" cm="1">
        <f t="array" ref="AF2">IFERROR(_xlfn.LET(_xlpm.txt,G2,_xlpm.inside,MID(_xlpm.txt,FIND("[",_xlpm.txt)+1,FIND("]",_xlpm.txt)-FIND("[",_xlpm.txt)-1),_xlpm.nums,VALUE(_xlfn.TEXTSPLIT(_xlpm.inside,",")),_xlpm.mapped,_xlfn.XLOOKUP(_xlpm.nums,$X$2:$X$100,$Y$2:$Y$100),SUBSTITUTE(_xlpm.txt,"["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"]")),G2)</f>
        <v>Contributes to the construction and cement industries by reducing carbon dioxide emissions and producing a high volume, low cost material [9,34]</v>
      </c>
      <c r="AG2" t="str" cm="1">
        <f t="array" ref="AG2">IFERROR(_xlfn.LET(_xlpm.txt,H2,_xlpm.inside,MID(_xlpm.txt,FIND("[",_xlpm.txt)+1,FIND("]",_xlpm.txt)-FIND("[",_xlpm.txt)-1),_xlpm.nums,VALUE(_xlfn.TEXTSPLIT(_xlpm.inside,",")),_xlpm.mapped,_xlfn.XLOOKUP(_xlpm.nums,$X$2:$X$100,$Y$2:$Y$100),SUBSTITUTE(_xlpm.txt,"["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"]")),H2)</f>
        <v>75% used for hydraulic binder, aggregates, clinker raw materials, glass ceramics, bricks, silica gel and adsorbents [46,34]</v>
      </c>
      <c r="AH2" t="str" cm="1">
        <f t="array" ref="AH2">IFERROR(_xlfn.LET(_xlpm.txt,I2,_xlpm.inside,MID(_xlpm.txt,FIND("[",_xlpm.txt)+1,FIND("]",_xlpm.txt)-FIND("[",_xlpm.txt)-1),_xlpm.nums,VALUE(_xlfn.TEXTSPLIT(_xlpm.inside,",")),_xlpm.mapped,_xlfn.XLOOKUP(_xlpm.nums,$X$2:$X$100,$Y$2:$Y$100),SUBSTITUTE(_xlpm.txt,"["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"]")),I2)</f>
        <v>Sc, V, REEs – LREEs and HREEs (La, Y, Nd, Ce) [4]</v>
      </c>
      <c r="AI2" t="str" cm="1">
        <f t="array" ref="AI2">IFERROR(_xlfn.LET(_xlpm.txt,J2,_xlpm.inside,MID(_xlpm.txt,FIND("[",_xlpm.txt)+1,FIND("]",_xlpm.txt)-FIND("[",_xlpm.txt)-1),_xlpm.nums,VALUE(_xlfn.TEXTSPLIT(_xlpm.inside,",")),_xlpm.mapped,_xlfn.XLOOKUP(_xlpm.nums,$X$2:$X$100,$Y$2:$Y$100),SUBSTITUTE(_xlpm.txt,"["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"]")),J2)</f>
        <v>Mn, REEs for magnets ( Nd, Ce, Pr, Sm, Gd, Dy) [46]</v>
      </c>
      <c r="AJ2" t="str" cm="1">
        <f t="array" ref="AJ2">IFERROR(_xlfn.LET(_xlpm.txt,K2,_xlpm.inside,MID(_xlpm.txt,FIND("[",_xlpm.txt)+1,FIND("]",_xlpm.txt)-FIND("[",_xlpm.txt)-1),_xlpm.nums,VALUE(_xlfn.TEXTSPLIT(_xlpm.inside,",")),_xlpm.mapped,_xlfn.XLOOKUP(_xlpm.nums,$X$2:$X$100,$Y$2:$Y$100),SUBSTITUTE(_xlpm.txt,"["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"]")),K2)</f>
        <v>CaO (28–51%)
SiO2 (26–40%)
Al2O3 (6–20%)
MgO (4–11%)
Fe2O3 (&lt;2%) [46]</v>
      </c>
      <c r="AK2" t="str" cm="1">
        <f t="array" ref="AK2">IFERROR(_xlfn.LET(_xlpm.txt,L2,_xlpm.inside,MID(_xlpm.txt,FIND("[",_xlpm.txt)+1,FIND("]",_xlpm.txt)-FIND("[",_xlpm.txt)-1),_xlpm.nums,VALUE(_xlfn.TEXTSPLIT(_xlpm.inside,",")),_xlpm.mapped,_xlfn.XLOOKUP(_xlpm.nums,$X$2:$X$100,$Y$2:$Y$100),SUBSTITUTE(_xlpm.txt,"["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"]")),L2)</f>
        <v>Akermanite (Ca2MgSi2O7)
Monticellite (CaMgSiO4)
Gehlenite (Ca2Al2SiO7)​, (CaSO4SiO2)
Primarily amorphous phase after rapidly cooling process [9]</v>
      </c>
      <c r="AL2" t="str" cm="1">
        <f t="array" ref="AL2">IFERROR(_xlfn.LET(_xlpm.txt,M2,_xlpm.inside,MID(_xlpm.txt,FIND("[",_xlpm.txt)+1,FIND("]",_xlpm.txt)-FIND("[",_xlpm.txt)-1),_xlpm.nums,VALUE(_xlfn.TEXTSPLIT(_xlpm.inside,",")),_xlpm.mapped,_xlfn.XLOOKUP(_xlpm.nums,$X$2:$X$100,$Y$2:$Y$100),SUBSTITUTE(_xlpm.txt,"["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"]")),M2)</f>
        <v>Ca, Si, Al, Mg, Fe, S, Mn, Ti, K, Na and trace of REEs (La, Ce, Nd, Pr, Y, Er,Dy) [2]</v>
      </c>
      <c r="AM2" t="str" cm="1">
        <f t="array" ref="AM2">IFERROR(_xlfn.LET(_xlpm.txt,N2,_xlpm.inside,MID(_xlpm.txt,FIND("[",_xlpm.txt)+1,FIND("]",_xlpm.txt)-FIND("[",_xlpm.txt)-1),_xlpm.nums,VALUE(_xlfn.TEXTSPLIT(_xlpm.inside,",")),_xlpm.mapped,_xlfn.XLOOKUP(_xlpm.nums,$X$2:$X$100,$Y$2:$Y$100),SUBSTITUTE(_xlpm.txt,"["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"]")),N2)</f>
        <v>Solid state: molten liquid during production stage forming granular or vitrified solid after air or water cooling [46]</v>
      </c>
      <c r="AN2" t="str" cm="1">
        <f t="array" ref="AN2">IFERROR(_xlfn.LET(_xlpm.txt,O2,_xlpm.inside,MID(_xlpm.txt,FIND("[",_xlpm.txt)+1,FIND("]",_xlpm.txt)-FIND("[",_xlpm.txt)-1),_xlpm.nums,VALUE(_xlfn.TEXTSPLIT(_xlpm.inside,",")),_xlpm.mapped,_xlfn.XLOOKUP(_xlpm.nums,$X$2:$X$100,$Y$2:$Y$100),SUBSTITUTE(_xlpm.txt,"["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"]")),O2)</f>
        <v>150–347 kg/t Hot Metal (HM) (avg. 249 kg/t) [6]</v>
      </c>
      <c r="AO2" t="str" cm="1">
        <f t="array" ref="AO2">IFERROR(_xlfn.LET(_xlpm.txt,P2,_xlpm.inside,MID(_xlpm.txt,FIND("[",_xlpm.txt)+1,FIND("]",_xlpm.txt)-FIND("[",_xlpm.txt)-1),_xlpm.nums,VALUE(_xlfn.TEXTSPLIT(_xlpm.inside,",")),_xlpm.mapped,_xlfn.XLOOKUP(_xlpm.nums,$X$2:$X$100,$Y$2:$Y$100),SUBSTITUTE(_xlpm.txt,"["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"]")),P2)</f>
        <v>10.0–11.0: highly alkaline [9]</v>
      </c>
      <c r="AP2" t="str" cm="1">
        <f t="array" ref="AP2">IFERROR(_xlfn.LET(_xlpm.txt,Q2,_xlpm.inside,MID(_xlpm.txt,FIND("[",_xlpm.txt)+1,FIND("]",_xlpm.txt)-FIND("[",_xlpm.txt)-1),_xlpm.nums,VALUE(_xlfn.TEXTSPLIT(_xlpm.inside,",")),_xlpm.mapped,_xlfn.XLOOKUP(_xlpm.nums,$X$2:$X$100,$Y$2:$Y$100),SUBSTITUTE(_xlpm.txt,"["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"]")),Q2)</f>
        <v>Negligible: solid oxide matrix after air or water cooling [46]</v>
      </c>
    </row>
    <row r="3" spans="1:42" ht="221" x14ac:dyDescent="0.2">
      <c r="A3" s="61" t="s">
        <v>230</v>
      </c>
      <c r="B3" s="4" t="s">
        <v>983</v>
      </c>
      <c r="C3" s="4" t="s">
        <v>305</v>
      </c>
      <c r="D3" s="4" t="s">
        <v>998</v>
      </c>
      <c r="E3" s="4" t="s">
        <v>999</v>
      </c>
      <c r="F3" s="4" t="s">
        <v>1000</v>
      </c>
      <c r="G3" s="4" t="s">
        <v>1001</v>
      </c>
      <c r="H3" s="4" t="s">
        <v>1002</v>
      </c>
      <c r="I3" s="4" t="s">
        <v>1003</v>
      </c>
      <c r="J3" s="4" t="s">
        <v>237</v>
      </c>
      <c r="K3" s="4" t="s">
        <v>1004</v>
      </c>
      <c r="L3" s="4" t="s">
        <v>1005</v>
      </c>
      <c r="M3" s="4" t="s">
        <v>1006</v>
      </c>
      <c r="N3" s="4" t="s">
        <v>1007</v>
      </c>
      <c r="O3" s="4" t="s">
        <v>1008</v>
      </c>
      <c r="P3" s="4" t="s">
        <v>1009</v>
      </c>
      <c r="Q3" s="4" t="s">
        <v>1010</v>
      </c>
      <c r="X3" s="36">
        <v>2</v>
      </c>
      <c r="Y3" s="63">
        <v>1</v>
      </c>
      <c r="AA3" t="str" cm="1">
        <f t="array" ref="AA3">IFERROR(_xlfn.LET(_xlpm.txt,B3,_xlpm.inside,MID(_xlpm.txt,FIND("[",_xlpm.txt)+1,FIND("]",_xlpm.txt)-FIND("[",_xlpm.txt)-1),_xlpm.nums,VALUE(_xlfn.TEXTSPLIT(_xlpm.inside,",")),_xlpm.mapped,_xlfn.XLOOKUP(_xlpm.nums,$X$2:$X$100,$Y$2:$Y$100),SUBSTITUTE(_xlpm.txt,"["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"]")),B3)</f>
        <v>Hematite (Fe2O3), magnetite (Fe3O4), limonite, siderite [34,46,4]</v>
      </c>
      <c r="AB3" t="str" cm="1">
        <f t="array" ref="AB3">IFERROR(_xlfn.LET(_xlpm.txt,C3,_xlpm.inside,MID(_xlpm.txt,FIND("[",_xlpm.txt)+1,FIND("]",_xlpm.txt)-FIND("[",_xlpm.txt)-1),_xlpm.nums,VALUE(_xlfn.TEXTSPLIT(_xlpm.inside,",")),_xlpm.mapped,_xlfn.XLOOKUP(_xlpm.nums,$X$2:$X$100,$Y$2:$Y$100),SUBSTITUTE(_xlpm.txt,"["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"]")),C3)</f>
        <v>Basic Oxygen Furnace (BOF) or Linz–Donawitz (LD) slag</v>
      </c>
      <c r="AC3" t="str" cm="1">
        <f t="array" ref="AC3">IFERROR(_xlfn.LET(_xlpm.txt,D3,_xlpm.inside,MID(_xlpm.txt,FIND("[",_xlpm.txt)+1,FIND("]",_xlpm.txt)-FIND("[",_xlpm.txt)-1),_xlpm.nums,VALUE(_xlfn.TEXTSPLIT(_xlpm.inside,",")),_xlpm.mapped,_xlfn.XLOOKUP(_xlpm.nums,$X$2:$X$100,$Y$2:$Y$100),SUBSTITUTE(_xlpm.txt,"["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"]")),D3)</f>
        <v>Steelmaking through Basic Oxygen Furnace (BOF) or Linz–Donawitz (LD) processes [46,6,34]</v>
      </c>
      <c r="AD3" t="str" cm="1">
        <f t="array" ref="AD3">IFERROR(_xlfn.LET(_xlpm.txt,E3,_xlpm.inside,MID(_xlpm.txt,FIND("[",_xlpm.txt)+1,FIND("]",_xlpm.txt)-FIND("[",_xlpm.txt)-1),_xlpm.nums,VALUE(_xlfn.TEXTSPLIT(_xlpm.inside,",")),_xlpm.mapped,_xlfn.XLOOKUP(_xlpm.nums,$X$2:$X$100,$Y$2:$Y$100),SUBSTITUTE(_xlpm.txt,"["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"]")),E3)</f>
        <v>Weathering (aging) for reduction of volume expansion and stabilisation of free lime [4]
Metal recovery of iron (mainly) through magnetic separation [46]
Accelerated carbonation for immobilisation of Cr and V to improve durability [38, 17]
Crushing and grading for construction materials use [46]
Hot–stage modification during tapping to adjust basicity and add flux to control chemical composition [4]</v>
      </c>
      <c r="AE3" t="str" cm="1">
        <f t="array" ref="AE3">IFERROR(_xlfn.LET(_xlpm.txt,F3,_xlpm.inside,MID(_xlpm.txt,FIND("[",_xlpm.txt)+1,FIND("]",_xlpm.txt)-FIND("[",_xlpm.txt)-1),_xlpm.nums,VALUE(_xlfn.TEXTSPLIT(_xlpm.inside,",")),_xlpm.mapped,_xlfn.XLOOKUP(_xlpm.nums,$X$2:$X$100,$Y$2:$Y$100),SUBSTITUTE(_xlpm.txt,"["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"]")),F3)</f>
        <v>High basicity, free lime expansion potential, potential leaching of Cr or V [6,4]</v>
      </c>
      <c r="AF3" t="str" cm="1">
        <f t="array" ref="AF3">IFERROR(_xlfn.LET(_xlpm.txt,G3,_xlpm.inside,MID(_xlpm.txt,FIND("[",_xlpm.txt)+1,FIND("]",_xlpm.txt)-FIND("[",_xlpm.txt)-1),_xlpm.nums,VALUE(_xlfn.TEXTSPLIT(_xlpm.inside,",")),_xlpm.mapped,_xlfn.XLOOKUP(_xlpm.nums,$X$2:$X$100,$Y$2:$Y$100),SUBSTITUTE(_xlpm.txt,"["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"]")),G3)</f>
        <v>Potential for carbon dioxide sequestration, internal recycling within the plant [4]</v>
      </c>
      <c r="AG3" t="str" cm="1">
        <f t="array" ref="AG3">IFERROR(_xlfn.LET(_xlpm.txt,H3,_xlpm.inside,MID(_xlpm.txt,FIND("[",_xlpm.txt)+1,FIND("]",_xlpm.txt)-FIND("[",_xlpm.txt)-1),_xlpm.nums,VALUE(_xlfn.TEXTSPLIT(_xlpm.inside,",")),_xlpm.mapped,_xlfn.XLOOKUP(_xlpm.nums,$X$2:$X$100,$Y$2:$Y$100),SUBSTITUTE(_xlpm.txt,"["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"]")),H3)</f>
        <v>Aggregates, asphalt and railway ballast, soil conditioning agent, cement clinker raw material [4,34]</v>
      </c>
      <c r="AH3" t="str" cm="1">
        <f t="array" ref="AH3">IFERROR(_xlfn.LET(_xlpm.txt,I3,_xlpm.inside,MID(_xlpm.txt,FIND("[",_xlpm.txt)+1,FIND("]",_xlpm.txt)-FIND("[",_xlpm.txt)-1),_xlpm.nums,VALUE(_xlfn.TEXTSPLIT(_xlpm.inside,",")),_xlpm.mapped,_xlfn.XLOOKUP(_xlpm.nums,$X$2:$X$100,$Y$2:$Y$100),SUBSTITUTE(_xlpm.txt,"["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"]")),I3)</f>
        <v>V, Al (bauxite) [47]</v>
      </c>
      <c r="AI3" t="str" cm="1">
        <f t="array" ref="AI3">IFERROR(_xlfn.LET(_xlpm.txt,J3,_xlpm.inside,MID(_xlpm.txt,FIND("[",_xlpm.txt)+1,FIND("]",_xlpm.txt)-FIND("[",_xlpm.txt)-1),_xlpm.nums,VALUE(_xlfn.TEXTSPLIT(_xlpm.inside,",")),_xlpm.mapped,_xlfn.XLOOKUP(_xlpm.nums,$X$2:$X$100,$Y$2:$Y$100),SUBSTITUTE(_xlpm.txt,"["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"]")),J3)</f>
        <v>Not applicable</v>
      </c>
      <c r="AJ3" t="str" cm="1">
        <f t="array" ref="AJ3">IFERROR(_xlfn.LET(_xlpm.txt,K3,_xlpm.inside,MID(_xlpm.txt,FIND("[",_xlpm.txt)+1,FIND("]",_xlpm.txt)-FIND("[",_xlpm.txt)-1),_xlpm.nums,VALUE(_xlfn.TEXTSPLIT(_xlpm.inside,",")),_xlpm.mapped,_xlfn.XLOOKUP(_xlpm.nums,$X$2:$X$100,$Y$2:$Y$100),SUBSTITUTE(_xlpm.txt,"["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"]")),K3)</f>
        <v>CaO (36.4–55%)
FeO or Fe2O3 (10–37%)
SiO2 (7–23%)
MgO (0.4–14%)
P2O5 (1–3.35%) [9]</v>
      </c>
      <c r="AK3" t="str" cm="1">
        <f t="array" ref="AK3">IFERROR(_xlfn.LET(_xlpm.txt,L3,_xlpm.inside,MID(_xlpm.txt,FIND("[",_xlpm.txt)+1,FIND("]",_xlpm.txt)-FIND("[",_xlpm.txt)-1),_xlpm.nums,VALUE(_xlfn.TEXTSPLIT(_xlpm.inside,",")),_xlpm.mapped,_xlfn.XLOOKUP(_xlpm.nums,$X$2:$X$100,$Y$2:$Y$100),SUBSTITUTE(_xlpm.txt,"["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"]")),L3)</f>
        <v>Dicalcium silicate (C2S)
Tricalcium silicate (C3S)
Srebrodolskite (Ca2Fe2O5)
Merwinite (Ca3Mg(SiO4)2)
Wüstite (FeO) [46]</v>
      </c>
      <c r="AL3" t="str" cm="1">
        <f t="array" ref="AL3">IFERROR(_xlfn.LET(_xlpm.txt,M3,_xlpm.inside,MID(_xlpm.txt,FIND("[",_xlpm.txt)+1,FIND("]",_xlpm.txt)-FIND("[",_xlpm.txt)-1),_xlpm.nums,VALUE(_xlfn.TEXTSPLIT(_xlpm.inside,",")),_xlpm.mapped,_xlfn.XLOOKUP(_xlpm.nums,$X$2:$X$100,$Y$2:$Y$100),SUBSTITUTE(_xlpm.txt,"["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"]")),M3)</f>
        <v>Ca, Fe, Si, Mg, P, S, Mn, Al, Cr, K, V, Na [6]</v>
      </c>
      <c r="AM3" t="str" cm="1">
        <f t="array" ref="AM3">IFERROR(_xlfn.LET(_xlpm.txt,N3,_xlpm.inside,MID(_xlpm.txt,FIND("[",_xlpm.txt)+1,FIND("]",_xlpm.txt)-FIND("[",_xlpm.txt)-1),_xlpm.nums,VALUE(_xlfn.TEXTSPLIT(_xlpm.inside,",")),_xlpm.mapped,_xlfn.XLOOKUP(_xlpm.nums,$X$2:$X$100,$Y$2:$Y$100),SUBSTITUTE(_xlpm.txt,"["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"]")),N3)</f>
        <v>Solid state: stony, granular or rocky aggregate [4]</v>
      </c>
      <c r="AN3" t="str" cm="1">
        <f t="array" ref="AN3">IFERROR(_xlfn.LET(_xlpm.txt,O3,_xlpm.inside,MID(_xlpm.txt,FIND("[",_xlpm.txt)+1,FIND("]",_xlpm.txt)-FIND("[",_xlpm.txt)-1),_xlpm.nums,VALUE(_xlfn.TEXTSPLIT(_xlpm.inside,",")),_xlpm.mapped,_xlfn.XLOOKUP(_xlpm.nums,$X$2:$X$100,$Y$2:$Y$100),SUBSTITUTE(_xlpm.txt,"["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"]")),O3)</f>
        <v>85–165 kg/t Liquid Steel (LS) (avg. 125 kg/t) [6]</v>
      </c>
      <c r="AO3" t="str" cm="1">
        <f t="array" ref="AO3">IFERROR(_xlfn.LET(_xlpm.txt,P3,_xlpm.inside,MID(_xlpm.txt,FIND("[",_xlpm.txt)+1,FIND("]",_xlpm.txt)-FIND("[",_xlpm.txt)-1),_xlpm.nums,VALUE(_xlfn.TEXTSPLIT(_xlpm.inside,",")),_xlpm.mapped,_xlfn.XLOOKUP(_xlpm.nums,$X$2:$X$100,$Y$2:$Y$100),SUBSTITUTE(_xlpm.txt,"["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"]")),P3)</f>
        <v>11.0–13.0: strongly alkaline with approximate average of 12.5 [9]</v>
      </c>
      <c r="AP3" t="str" cm="1">
        <f t="array" ref="AP3">IFERROR(_xlfn.LET(_xlpm.txt,Q3,_xlpm.inside,MID(_xlpm.txt,FIND("[",_xlpm.txt)+1,FIND("]",_xlpm.txt)-FIND("[",_xlpm.txt)-1),_xlpm.nums,VALUE(_xlfn.TEXTSPLIT(_xlpm.inside,",")),_xlpm.mapped,_xlfn.XLOOKUP(_xlpm.nums,$X$2:$X$100,$Y$2:$Y$100),SUBSTITUTE(_xlpm.txt,"["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"]")),Q3)</f>
        <v>Negligible: stony or rocky solid aggregates [4]</v>
      </c>
    </row>
    <row r="4" spans="1:42" ht="221" x14ac:dyDescent="0.2">
      <c r="A4" s="61" t="s">
        <v>230</v>
      </c>
      <c r="B4" s="4" t="s">
        <v>983</v>
      </c>
      <c r="C4" s="4" t="s">
        <v>306</v>
      </c>
      <c r="D4" s="4" t="s">
        <v>1011</v>
      </c>
      <c r="E4" s="4" t="s">
        <v>1012</v>
      </c>
      <c r="F4" s="4" t="s">
        <v>1013</v>
      </c>
      <c r="G4" s="4" t="s">
        <v>1014</v>
      </c>
      <c r="H4" s="4" t="s">
        <v>1015</v>
      </c>
      <c r="I4" s="4" t="s">
        <v>1016</v>
      </c>
      <c r="J4" s="4" t="s">
        <v>237</v>
      </c>
      <c r="K4" s="4" t="s">
        <v>1017</v>
      </c>
      <c r="L4" s="4" t="s">
        <v>1018</v>
      </c>
      <c r="M4" s="4" t="s">
        <v>1019</v>
      </c>
      <c r="N4" s="4" t="s">
        <v>1020</v>
      </c>
      <c r="O4" s="4" t="s">
        <v>1021</v>
      </c>
      <c r="P4" s="4" t="s">
        <v>1022</v>
      </c>
      <c r="Q4" s="4" t="s">
        <v>1023</v>
      </c>
      <c r="X4" s="36">
        <v>3</v>
      </c>
      <c r="Y4" s="63">
        <v>31</v>
      </c>
      <c r="AA4" t="str" cm="1">
        <f t="array" ref="AA4">IFERROR(_xlfn.LET(_xlpm.txt,B4,_xlpm.inside,MID(_xlpm.txt,FIND("[",_xlpm.txt)+1,FIND("]",_xlpm.txt)-FIND("[",_xlpm.txt)-1),_xlpm.nums,VALUE(_xlfn.TEXTSPLIT(_xlpm.inside,",")),_xlpm.mapped,_xlfn.XLOOKUP(_xlpm.nums,$X$2:$X$100,$Y$2:$Y$100),SUBSTITUTE(_xlpm.txt,"["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"]")),B4)</f>
        <v>Hematite (Fe2O3), magnetite (Fe3O4), limonite, siderite [34,46,4]</v>
      </c>
      <c r="AB4" t="str" cm="1">
        <f t="array" ref="AB4">IFERROR(_xlfn.LET(_xlpm.txt,C4,_xlpm.inside,MID(_xlpm.txt,FIND("[",_xlpm.txt)+1,FIND("]",_xlpm.txt)-FIND("[",_xlpm.txt)-1),_xlpm.nums,VALUE(_xlfn.TEXTSPLIT(_xlpm.inside,",")),_xlpm.mapped,_xlfn.XLOOKUP(_xlpm.nums,$X$2:$X$100,$Y$2:$Y$100),SUBSTITUTE(_xlpm.txt,"["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"]")),C4)</f>
        <v>Blast Furnace (BF) or Basic Oxygen Furnace (BOF) sludge – wet dust</v>
      </c>
      <c r="AC4" t="str" cm="1">
        <f t="array" ref="AC4">IFERROR(_xlfn.LET(_xlpm.txt,D4,_xlpm.inside,MID(_xlpm.txt,FIND("[",_xlpm.txt)+1,FIND("]",_xlpm.txt)-FIND("[",_xlpm.txt)-1),_xlpm.nums,VALUE(_xlfn.TEXTSPLIT(_xlpm.inside,",")),_xlpm.mapped,_xlfn.XLOOKUP(_xlpm.nums,$X$2:$X$100,$Y$2:$Y$100),SUBSTITUTE(_xlpm.txt,"["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"]")),D4)</f>
        <v>Off–gas cleaning system or water scrubbing during Blast furnace (BF) or Basic Oxygen Furnace (BOF) operations [24,47,51]</v>
      </c>
      <c r="AD4" t="str" cm="1">
        <f t="array" ref="AD4">IFERROR(_xlfn.LET(_xlpm.txt,E4,_xlpm.inside,MID(_xlpm.txt,FIND("[",_xlpm.txt)+1,FIND("]",_xlpm.txt)-FIND("[",_xlpm.txt)-1),_xlpm.nums,VALUE(_xlfn.TEXTSPLIT(_xlpm.inside,",")),_xlpm.mapped,_xlfn.XLOOKUP(_xlpm.nums,$X$2:$X$100,$Y$2:$Y$100),SUBSTITUTE(_xlpm.txt,"["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"]")),E4)</f>
        <v>Dewatering and pelletisation to improve handling and furnace recyclability [47]
Hydrometallurgical processes for removal of impurities like Zn and Pb prior to Fe recovery [8, 11]
Pyrometallurgical reduction process through Waelz or rotary kiln for volatilisation of Zn and upgradation of Fe fraction [44]
Magnetic separation for producing Fe–rich concentration, suitable for reuse [47]</v>
      </c>
      <c r="AE4" t="str" cm="1">
        <f t="array" ref="AE4">IFERROR(_xlfn.LET(_xlpm.txt,F4,_xlpm.inside,MID(_xlpm.txt,FIND("[",_xlpm.txt)+1,FIND("]",_xlpm.txt)-FIND("[",_xlpm.txt)-1),_xlpm.nums,VALUE(_xlfn.TEXTSPLIT(_xlpm.inside,",")),_xlpm.mapped,_xlfn.XLOOKUP(_xlpm.nums,$X$2:$X$100,$Y$2:$Y$100),SUBSTITUTE(_xlpm.txt,"["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"]")),F4)</f>
        <v>Zn, Pb or oil contamination present, high moisture content, fine particle size distribution [47]</v>
      </c>
      <c r="AF4" t="str" cm="1">
        <f t="array" ref="AF4">IFERROR(_xlfn.LET(_xlpm.txt,G4,_xlpm.inside,MID(_xlpm.txt,FIND("[",_xlpm.txt)+1,FIND("]",_xlpm.txt)-FIND("[",_xlpm.txt)-1),_xlpm.nums,VALUE(_xlfn.TEXTSPLIT(_xlpm.inside,",")),_xlpm.mapped,_xlfn.XLOOKUP(_xlpm.nums,$X$2:$X$100,$Y$2:$Y$100),SUBSTITUTE(_xlpm.txt,"["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"]")),G4)</f>
        <v>Zn and Pb recovery boosts the economic value and recyclability of raw material demand [47]</v>
      </c>
      <c r="AG4" t="str" cm="1">
        <f t="array" ref="AG4">IFERROR(_xlfn.LET(_xlpm.txt,H4,_xlpm.inside,MID(_xlpm.txt,FIND("[",_xlpm.txt)+1,FIND("]",_xlpm.txt)-FIND("[",_xlpm.txt)-1),_xlpm.nums,VALUE(_xlfn.TEXTSPLIT(_xlpm.inside,",")),_xlpm.mapped,_xlfn.XLOOKUP(_xlpm.nums,$X$2:$X$100,$Y$2:$Y$100),SUBSTITUTE(_xlpm.txt,"["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"]")),H4)</f>
        <v>Fe source for sinter, Zn and Pb recovery, magnetite concentrate [47]</v>
      </c>
      <c r="AH4" t="str" cm="1">
        <f t="array" ref="AH4">IFERROR(_xlfn.LET(_xlpm.txt,I4,_xlpm.inside,MID(_xlpm.txt,FIND("[",_xlpm.txt)+1,FIND("]",_xlpm.txt)-FIND("[",_xlpm.txt)-1),_xlpm.nums,VALUE(_xlfn.TEXTSPLIT(_xlpm.inside,",")),_xlpm.mapped,_xlfn.XLOOKUP(_xlpm.nums,$X$2:$X$100,$Y$2:$Y$100),SUBSTITUTE(_xlpm.txt,"["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"]")),I4)</f>
        <v>P, REEs – LREEs and HREEs (La, Y) [47]</v>
      </c>
      <c r="AI4" t="str" cm="1">
        <f t="array" ref="AI4">IFERROR(_xlfn.LET(_xlpm.txt,J4,_xlpm.inside,MID(_xlpm.txt,FIND("[",_xlpm.txt)+1,FIND("]",_xlpm.txt)-FIND("[",_xlpm.txt)-1),_xlpm.nums,VALUE(_xlfn.TEXTSPLIT(_xlpm.inside,",")),_xlpm.mapped,_xlfn.XLOOKUP(_xlpm.nums,$X$2:$X$100,$Y$2:$Y$100),SUBSTITUTE(_xlpm.txt,"["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"]")),J4)</f>
        <v>Not applicable</v>
      </c>
      <c r="AJ4" t="str" cm="1">
        <f t="array" ref="AJ4">IFERROR(_xlfn.LET(_xlpm.txt,K4,_xlpm.inside,MID(_xlpm.txt,FIND("[",_xlpm.txt)+1,FIND("]",_xlpm.txt)-FIND("[",_xlpm.txt)-1),_xlpm.nums,VALUE(_xlfn.TEXTSPLIT(_xlpm.inside,",")),_xlpm.mapped,_xlfn.XLOOKUP(_xlpm.nums,$X$2:$X$100,$Y$2:$Y$100),SUBSTITUTE(_xlpm.txt,"["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"]")),K4)</f>
        <v>Fe (20–70%)
C (10–50%)
Zn (0.1–0.9%) [47]</v>
      </c>
      <c r="AK4" t="str" cm="1">
        <f t="array" ref="AK4">IFERROR(_xlfn.LET(_xlpm.txt,L4,_xlpm.inside,MID(_xlpm.txt,FIND("[",_xlpm.txt)+1,FIND("]",_xlpm.txt)-FIND("[",_xlpm.txt)-1),_xlpm.nums,VALUE(_xlfn.TEXTSPLIT(_xlpm.inside,",")),_xlpm.mapped,_xlfn.XLOOKUP(_xlpm.nums,$X$2:$X$100,$Y$2:$Y$100),SUBSTITUTE(_xlpm.txt,"["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"]")),L4)</f>
        <v>Hematite (Fe2O3)
Magnetite (Fe3O4)
​Wüstite (FeO)
​Graphite (C)
Quartz (SiO2) 
Cacite [24]</v>
      </c>
      <c r="AL4" t="str" cm="1">
        <f t="array" ref="AL4">IFERROR(_xlfn.LET(_xlpm.txt,M4,_xlpm.inside,MID(_xlpm.txt,FIND("[",_xlpm.txt)+1,FIND("]",_xlpm.txt)-FIND("[",_xlpm.txt)-1),_xlpm.nums,VALUE(_xlfn.TEXTSPLIT(_xlpm.inside,",")),_xlpm.mapped,_xlfn.XLOOKUP(_xlpm.nums,$X$2:$X$100,$Y$2:$Y$100),SUBSTITUTE(_xlpm.txt,"["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"]")),M4)</f>
        <v>Fe, C, Zn, Pb, Ca, Mg, Si, S, Na, K, Mn [47]</v>
      </c>
      <c r="AM4" t="str" cm="1">
        <f t="array" ref="AM4">IFERROR(_xlfn.LET(_xlpm.txt,N4,_xlpm.inside,MID(_xlpm.txt,FIND("[",_xlpm.txt)+1,FIND("]",_xlpm.txt)-FIND("[",_xlpm.txt)-1),_xlpm.nums,VALUE(_xlfn.TEXTSPLIT(_xlpm.inside,",")),_xlpm.mapped,_xlfn.XLOOKUP(_xlpm.nums,$X$2:$X$100,$Y$2:$Y$100),SUBSTITUTE(_xlpm.txt,"["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"]")),N4)</f>
        <v>Wet solid or filter cake: slurry prior to dewatering [47]</v>
      </c>
      <c r="AN4" t="str" cm="1">
        <f t="array" ref="AN4">IFERROR(_xlfn.LET(_xlpm.txt,O4,_xlpm.inside,MID(_xlpm.txt,FIND("[",_xlpm.txt)+1,FIND("]",_xlpm.txt)-FIND("[",_xlpm.txt)-1),_xlpm.nums,VALUE(_xlfn.TEXTSPLIT(_xlpm.inside,",")),_xlpm.mapped,_xlfn.XLOOKUP(_xlpm.nums,$X$2:$X$100,$Y$2:$Y$100),SUBSTITUTE(_xlpm.txt,"["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"]")),O4)</f>
        <v>BF: 2–22 kg/t Hot Metal (HM) (avg. 12 kg/t)
BOF: 15–16 kg/t Liquid Steel (LS) [6]</v>
      </c>
      <c r="AO4" t="str" cm="1">
        <f t="array" ref="AO4">IFERROR(_xlfn.LET(_xlpm.txt,P4,_xlpm.inside,MID(_xlpm.txt,FIND("[",_xlpm.txt)+1,FIND("]",_xlpm.txt)-FIND("[",_xlpm.txt)-1),_xlpm.nums,VALUE(_xlfn.TEXTSPLIT(_xlpm.inside,",")),_xlpm.mapped,_xlfn.XLOOKUP(_xlpm.nums,$X$2:$X$100,$Y$2:$Y$100),SUBSTITUTE(_xlpm.txt,"["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"]")),P4)</f>
        <v>Alkaline: high moisture containing 9.0–10.6% of CaO with high buffering capacity [24]</v>
      </c>
      <c r="AP4" t="str" cm="1">
        <f t="array" ref="AP4">IFERROR(_xlfn.LET(_xlpm.txt,Q4,_xlpm.inside,MID(_xlpm.txt,FIND("[",_xlpm.txt)+1,FIND("]",_xlpm.txt)-FIND("[",_xlpm.txt)-1),_xlpm.nums,VALUE(_xlfn.TEXTSPLIT(_xlpm.inside,",")),_xlpm.mapped,_xlfn.XLOOKUP(_xlpm.nums,$X$2:$X$100,$Y$2:$Y$100),SUBSTITUTE(_xlpm.txt,"["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"]")),Q4)</f>
        <v>High: wet gas–cleaning product handled as wet slurry or filter cake) [47]</v>
      </c>
    </row>
    <row r="5" spans="1:42" ht="153" x14ac:dyDescent="0.2">
      <c r="A5" s="61" t="s">
        <v>230</v>
      </c>
      <c r="B5" s="4" t="s">
        <v>983</v>
      </c>
      <c r="C5" s="4" t="s">
        <v>1</v>
      </c>
      <c r="D5" s="4" t="s">
        <v>1024</v>
      </c>
      <c r="E5" s="4" t="s">
        <v>1025</v>
      </c>
      <c r="F5" s="4" t="s">
        <v>1026</v>
      </c>
      <c r="G5" s="4" t="s">
        <v>1027</v>
      </c>
      <c r="H5" s="4" t="s">
        <v>1028</v>
      </c>
      <c r="I5" s="4" t="s">
        <v>1029</v>
      </c>
      <c r="J5" s="4" t="s">
        <v>237</v>
      </c>
      <c r="K5" s="4" t="s">
        <v>1030</v>
      </c>
      <c r="L5" s="4" t="s">
        <v>1031</v>
      </c>
      <c r="M5" s="4" t="s">
        <v>1032</v>
      </c>
      <c r="N5" s="4" t="s">
        <v>1033</v>
      </c>
      <c r="O5" s="4" t="s">
        <v>1034</v>
      </c>
      <c r="P5" s="4" t="s">
        <v>1035</v>
      </c>
      <c r="Q5" s="4" t="s">
        <v>1036</v>
      </c>
      <c r="X5" s="36">
        <v>4</v>
      </c>
      <c r="Y5" s="63">
        <v>52</v>
      </c>
      <c r="AA5" t="str" cm="1">
        <f t="array" ref="AA5">IFERROR(_xlfn.LET(_xlpm.txt,B5,_xlpm.inside,MID(_xlpm.txt,FIND("[",_xlpm.txt)+1,FIND("]",_xlpm.txt)-FIND("[",_xlpm.txt)-1),_xlpm.nums,VALUE(_xlfn.TEXTSPLIT(_xlpm.inside,",")),_xlpm.mapped,_xlfn.XLOOKUP(_xlpm.nums,$X$2:$X$100,$Y$2:$Y$100),SUBSTITUTE(_xlpm.txt,"["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"]")),B5)</f>
        <v>Hematite (Fe2O3), magnetite (Fe3O4), limonite, siderite [34,46,4]</v>
      </c>
      <c r="AB5" t="str" cm="1">
        <f t="array" ref="AB5">IFERROR(_xlfn.LET(_xlpm.txt,C5,_xlpm.inside,MID(_xlpm.txt,FIND("[",_xlpm.txt)+1,FIND("]",_xlpm.txt)-FIND("[",_xlpm.txt)-1),_xlpm.nums,VALUE(_xlfn.TEXTSPLIT(_xlpm.inside,",")),_xlpm.mapped,_xlfn.XLOOKUP(_xlpm.nums,$X$2:$X$100,$Y$2:$Y$100),SUBSTITUTE(_xlpm.txt,"["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"]")),C5)</f>
        <v>Mill scale</v>
      </c>
      <c r="AC5" t="str" cm="1">
        <f t="array" ref="AC5">IFERROR(_xlfn.LET(_xlpm.txt,D5,_xlpm.inside,MID(_xlpm.txt,FIND("[",_xlpm.txt)+1,FIND("]",_xlpm.txt)-FIND("[",_xlpm.txt)-1),_xlpm.nums,VALUE(_xlfn.TEXTSPLIT(_xlpm.inside,",")),_xlpm.mapped,_xlfn.XLOOKUP(_xlpm.nums,$X$2:$X$100,$Y$2:$Y$100),SUBSTITUTE(_xlpm.txt,"["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"]")),D5)</f>
        <v>Surface oxidation during hot rolling of steel [34,47]</v>
      </c>
      <c r="AD5" t="str" cm="1">
        <f t="array" ref="AD5">IFERROR(_xlfn.LET(_xlpm.txt,E5,_xlpm.inside,MID(_xlpm.txt,FIND("[",_xlpm.txt)+1,FIND("]",_xlpm.txt)-FIND("[",_xlpm.txt)-1),_xlpm.nums,VALUE(_xlfn.TEXTSPLIT(_xlpm.inside,",")),_xlpm.mapped,_xlfn.XLOOKUP(_xlpm.nums,$X$2:$X$100,$Y$2:$Y$100),SUBSTITUTE(_xlpm.txt,"["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"]")),E5)</f>
        <v>Thermal de–oiling to remove hydrocarbons and make the oxide suitable for further processing [47]
Reduction roasting to convert Fe oxides into more recoverable metallic phases [47]
Magnetic upgrading to separate high–grade Fe oxide fractions from gangue [47]</v>
      </c>
      <c r="AE5" t="str" cm="1">
        <f t="array" ref="AE5">IFERROR(_xlfn.LET(_xlpm.txt,F5,_xlpm.inside,MID(_xlpm.txt,FIND("[",_xlpm.txt)+1,FIND("]",_xlpm.txt)-FIND("[",_xlpm.txt)-1),_xlpm.nums,VALUE(_xlfn.TEXTSPLIT(_xlpm.inside,",")),_xlpm.mapped,_xlfn.XLOOKUP(_xlpm.nums,$X$2:$X$100,$Y$2:$Y$100),SUBSTITUTE(_xlpm.txt,"["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"]")),F5)</f>
        <v>Oil contamination hence requires de–oiling process [34]</v>
      </c>
      <c r="AF5" t="str" cm="1">
        <f t="array" ref="AF5">IFERROR(_xlfn.LET(_xlpm.txt,G5,_xlpm.inside,MID(_xlpm.txt,FIND("[",_xlpm.txt)+1,FIND("]",_xlpm.txt)-FIND("[",_xlpm.txt)-1),_xlpm.nums,VALUE(_xlfn.TEXTSPLIT(_xlpm.inside,",")),_xlpm.mapped,_xlfn.XLOOKUP(_xlpm.nums,$X$2:$X$100,$Y$2:$Y$100),SUBSTITUTE(_xlpm.txt,"["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"]")),G5)</f>
        <v>High–grade Fe obtained, making it an economic driver for reuse [34]</v>
      </c>
      <c r="AG5" t="str" cm="1">
        <f t="array" ref="AG5">IFERROR(_xlfn.LET(_xlpm.txt,H5,_xlpm.inside,MID(_xlpm.txt,FIND("[",_xlpm.txt)+1,FIND("]",_xlpm.txt)-FIND("[",_xlpm.txt)-1),_xlpm.nums,VALUE(_xlfn.TEXTSPLIT(_xlpm.inside,",")),_xlpm.mapped,_xlfn.XLOOKUP(_xlpm.nums,$X$2:$X$100,$Y$2:$Y$100),SUBSTITUTE(_xlpm.txt,"["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"]")),H5)</f>
        <v>Feed for sinter or pellets, Fe powder, anti–corrosion pigments [34,26]</v>
      </c>
      <c r="AH5" t="str" cm="1">
        <f t="array" ref="AH5">IFERROR(_xlfn.LET(_xlpm.txt,I5,_xlpm.inside,MID(_xlpm.txt,FIND("[",_xlpm.txt)+1,FIND("]",_xlpm.txt)-FIND("[",_xlpm.txt)-1),_xlpm.nums,VALUE(_xlfn.TEXTSPLIT(_xlpm.inside,",")),_xlpm.mapped,_xlfn.XLOOKUP(_xlpm.nums,$X$2:$X$100,$Y$2:$Y$100),SUBSTITUTE(_xlpm.txt,"["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"]")),I5)</f>
        <v>V [47]</v>
      </c>
      <c r="AI5" t="str" cm="1">
        <f t="array" ref="AI5">IFERROR(_xlfn.LET(_xlpm.txt,J5,_xlpm.inside,MID(_xlpm.txt,FIND("[",_xlpm.txt)+1,FIND("]",_xlpm.txt)-FIND("[",_xlpm.txt)-1),_xlpm.nums,VALUE(_xlfn.TEXTSPLIT(_xlpm.inside,",")),_xlpm.mapped,_xlfn.XLOOKUP(_xlpm.nums,$X$2:$X$100,$Y$2:$Y$100),SUBSTITUTE(_xlpm.txt,"["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"]")),J5)</f>
        <v>Not applicable</v>
      </c>
      <c r="AJ5" t="str" cm="1">
        <f t="array" ref="AJ5">IFERROR(_xlfn.LET(_xlpm.txt,K5,_xlpm.inside,MID(_xlpm.txt,FIND("[",_xlpm.txt)+1,FIND("]",_xlpm.txt)-FIND("[",_xlpm.txt)-1),_xlpm.nums,VALUE(_xlfn.TEXTSPLIT(_xlpm.inside,",")),_xlpm.mapped,_xlfn.XLOOKUP(_xlpm.nums,$X$2:$X$100,$Y$2:$Y$100),SUBSTITUTE(_xlpm.txt,"["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"]")),K5)</f>
        <v>Total Fe (70–95%)
SiO2 (generally &lt;10%)
FeO (wüstite) primary phase [34]</v>
      </c>
      <c r="AK5" t="str" cm="1">
        <f t="array" ref="AK5">IFERROR(_xlfn.LET(_xlpm.txt,L5,_xlpm.inside,MID(_xlpm.txt,FIND("[",_xlpm.txt)+1,FIND("]",_xlpm.txt)-FIND("[",_xlpm.txt)-1),_xlpm.nums,VALUE(_xlfn.TEXTSPLIT(_xlpm.inside,",")),_xlpm.mapped,_xlfn.XLOOKUP(_xlpm.nums,$X$2:$X$100,$Y$2:$Y$100),SUBSTITUTE(_xlpm.txt,"["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"]")),L5)</f>
        <v>Wüstite (FeO)
Hematite (Fe2​O3​)
Magnetite (Fe3​O4​)
Silica (SiO2​)
Magnesioferrite (MgFe2​O4​) [34]</v>
      </c>
      <c r="AL5" t="str" cm="1">
        <f t="array" ref="AL5">IFERROR(_xlfn.LET(_xlpm.txt,M5,_xlpm.inside,MID(_xlpm.txt,FIND("[",_xlpm.txt)+1,FIND("]",_xlpm.txt)-FIND("[",_xlpm.txt)-1),_xlpm.nums,VALUE(_xlfn.TEXTSPLIT(_xlpm.inside,",")),_xlpm.mapped,_xlfn.XLOOKUP(_xlpm.nums,$X$2:$X$100,$Y$2:$Y$100),SUBSTITUTE(_xlpm.txt,"["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"]")),M5)</f>
        <v>Fe, Si, Mn, Co, Cr [26]</v>
      </c>
      <c r="AM5" t="str" cm="1">
        <f t="array" ref="AM5">IFERROR(_xlfn.LET(_xlpm.txt,N5,_xlpm.inside,MID(_xlpm.txt,FIND("[",_xlpm.txt)+1,FIND("]",_xlpm.txt)-FIND("[",_xlpm.txt)-1),_xlpm.nums,VALUE(_xlfn.TEXTSPLIT(_xlpm.inside,",")),_xlpm.mapped,_xlfn.XLOOKUP(_xlpm.nums,$X$2:$X$100,$Y$2:$Y$100),SUBSTITUTE(_xlpm.txt,"["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"]")),N5)</f>
        <v>Solid state: flaky particles or oiled scale [34]</v>
      </c>
      <c r="AN5" t="str" cm="1">
        <f t="array" ref="AN5">IFERROR(_xlfn.LET(_xlpm.txt,O5,_xlpm.inside,MID(_xlpm.txt,FIND("[",_xlpm.txt)+1,FIND("]",_xlpm.txt)-FIND("[",_xlpm.txt)-1),_xlpm.nums,VALUE(_xlfn.TEXTSPLIT(_xlpm.inside,",")),_xlpm.mapped,_xlfn.XLOOKUP(_xlpm.nums,$X$2:$X$100,$Y$2:$Y$100),SUBSTITUTE(_xlpm.txt,"["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"]")),O5)</f>
        <v>2–8 kg/t Liquid Steel (LS) (avg. 5 kg/t) [6]</v>
      </c>
      <c r="AO5" t="str" cm="1">
        <f t="array" ref="AO5">IFERROR(_xlfn.LET(_xlpm.txt,P5,_xlpm.inside,MID(_xlpm.txt,FIND("[",_xlpm.txt)+1,FIND("]",_xlpm.txt)-FIND("[",_xlpm.txt)-1),_xlpm.nums,VALUE(_xlfn.TEXTSPLIT(_xlpm.inside,",")),_xlpm.mapped,_xlfn.XLOOKUP(_xlpm.nums,$X$2:$X$100,$Y$2:$Y$100),SUBSTITUTE(_xlpm.txt,"["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"]")),P5)</f>
        <v>Near–neutral to alkaline [6]</v>
      </c>
      <c r="AP5" t="str" cm="1">
        <f t="array" ref="AP5">IFERROR(_xlfn.LET(_xlpm.txt,Q5,_xlpm.inside,MID(_xlpm.txt,FIND("[",_xlpm.txt)+1,FIND("]",_xlpm.txt)-FIND("[",_xlpm.txt)-1),_xlpm.nums,VALUE(_xlfn.TEXTSPLIT(_xlpm.inside,",")),_xlpm.mapped,_xlfn.XLOOKUP(_xlpm.nums,$X$2:$X$100,$Y$2:$Y$100),SUBSTITUTE(_xlpm.txt,"["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"]")),Q5)</f>
        <v>Low: flaky solid particles often containing surface oil [18]</v>
      </c>
    </row>
    <row r="6" spans="1:42" ht="136" x14ac:dyDescent="0.2">
      <c r="A6" s="61" t="s">
        <v>230</v>
      </c>
      <c r="B6" s="4" t="s">
        <v>983</v>
      </c>
      <c r="C6" s="4" t="s">
        <v>2</v>
      </c>
      <c r="D6" s="4" t="s">
        <v>1037</v>
      </c>
      <c r="E6" s="4" t="s">
        <v>1038</v>
      </c>
      <c r="F6" s="4" t="s">
        <v>1039</v>
      </c>
      <c r="G6" s="4" t="s">
        <v>1040</v>
      </c>
      <c r="H6" s="4" t="s">
        <v>1041</v>
      </c>
      <c r="I6" s="4" t="s">
        <v>237</v>
      </c>
      <c r="J6" s="4" t="s">
        <v>1042</v>
      </c>
      <c r="K6" s="4" t="s">
        <v>1043</v>
      </c>
      <c r="L6" s="4" t="s">
        <v>1044</v>
      </c>
      <c r="M6" s="4" t="s">
        <v>1045</v>
      </c>
      <c r="N6" s="4" t="s">
        <v>1046</v>
      </c>
      <c r="O6" s="4" t="s">
        <v>1047</v>
      </c>
      <c r="P6" s="4" t="s">
        <v>1048</v>
      </c>
      <c r="Q6" s="4" t="s">
        <v>1049</v>
      </c>
      <c r="X6" s="36">
        <v>5</v>
      </c>
      <c r="Y6" s="63">
        <v>26</v>
      </c>
      <c r="AA6" t="str" cm="1">
        <f t="array" ref="AA6">IFERROR(_xlfn.LET(_xlpm.txt,B6,_xlpm.inside,MID(_xlpm.txt,FIND("[",_xlpm.txt)+1,FIND("]",_xlpm.txt)-FIND("[",_xlpm.txt)-1),_xlpm.nums,VALUE(_xlfn.TEXTSPLIT(_xlpm.inside,",")),_xlpm.mapped,_xlfn.XLOOKUP(_xlpm.nums,$X$2:$X$100,$Y$2:$Y$100),SUBSTITUTE(_xlpm.txt,"["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"]")),B6)</f>
        <v>Hematite (Fe2O3), magnetite (Fe3O4), limonite, siderite [34,46,4]</v>
      </c>
      <c r="AB6" t="str" cm="1">
        <f t="array" ref="AB6">IFERROR(_xlfn.LET(_xlpm.txt,C6,_xlpm.inside,MID(_xlpm.txt,FIND("[",_xlpm.txt)+1,FIND("]",_xlpm.txt)-FIND("[",_xlpm.txt)-1),_xlpm.nums,VALUE(_xlfn.TEXTSPLIT(_xlpm.inside,",")),_xlpm.mapped,_xlfn.XLOOKUP(_xlpm.nums,$X$2:$X$100,$Y$2:$Y$100),SUBSTITUTE(_xlpm.txt,"["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"]")),C6)</f>
        <v>Pickling sludge</v>
      </c>
      <c r="AC6" t="str" cm="1">
        <f t="array" ref="AC6">IFERROR(_xlfn.LET(_xlpm.txt,D6,_xlpm.inside,MID(_xlpm.txt,FIND("[",_xlpm.txt)+1,FIND("]",_xlpm.txt)-FIND("[",_xlpm.txt)-1),_xlpm.nums,VALUE(_xlfn.TEXTSPLIT(_xlpm.inside,",")),_xlpm.mapped,_xlfn.XLOOKUP(_xlpm.nums,$X$2:$X$100,$Y$2:$Y$100),SUBSTITUTE(_xlpm.txt,"["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"]")),D6)</f>
        <v>Acid pickling operation during steel surface treatment [47]</v>
      </c>
      <c r="AD6" t="str" cm="1">
        <f t="array" ref="AD6">IFERROR(_xlfn.LET(_xlpm.txt,E6,_xlpm.inside,MID(_xlpm.txt,FIND("[",_xlpm.txt)+1,FIND("]",_xlpm.txt)-FIND("[",_xlpm.txt)-1),_xlpm.nums,VALUE(_xlfn.TEXTSPLIT(_xlpm.inside,",")),_xlpm.mapped,_xlfn.XLOOKUP(_xlpm.nums,$X$2:$X$100,$Y$2:$Y$100),SUBSTITUTE(_xlpm.txt,"["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"]")),E6)</f>
        <v>Neutralization and precipitation to stabilise acidic residues [47]
Selective leaching to recover Fe or Ni or Cr from acid–derived metal complex [47]
Calcination or thermal decomposition to convert precipitated salts into oxide forms for suitable reuse [47]</v>
      </c>
      <c r="AE6" t="str" cm="1">
        <f t="array" ref="AE6">IFERROR(_xlfn.LET(_xlpm.txt,F6,_xlpm.inside,MID(_xlpm.txt,FIND("[",_xlpm.txt)+1,FIND("]",_xlpm.txt)-FIND("[",_xlpm.txt)-1),_xlpm.nums,VALUE(_xlfn.TEXTSPLIT(_xlpm.inside,",")),_xlpm.mapped,_xlfn.XLOOKUP(_xlpm.nums,$X$2:$X$100,$Y$2:$Y$100),SUBSTITUTE(_xlpm.txt,"["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"]")),F6)</f>
        <v>High acidity, hazardous classification, presence of various metals [47,35]</v>
      </c>
      <c r="AF6" t="str" cm="1">
        <f t="array" ref="AF6">IFERROR(_xlfn.LET(_xlpm.txt,G6,_xlpm.inside,MID(_xlpm.txt,FIND("[",_xlpm.txt)+1,FIND("]",_xlpm.txt)-FIND("[",_xlpm.txt)-1),_xlpm.nums,VALUE(_xlfn.TEXTSPLIT(_xlpm.inside,",")),_xlpm.mapped,_xlfn.XLOOKUP(_xlpm.nums,$X$2:$X$100,$Y$2:$Y$100),SUBSTITUTE(_xlpm.txt,"["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"]")),G6)</f>
        <v>Recovery of Fe salts and hazardous waste disposal leads to cost savings [47]</v>
      </c>
      <c r="AG6" t="str" cm="1">
        <f t="array" ref="AG6">IFERROR(_xlfn.LET(_xlpm.txt,H6,_xlpm.inside,MID(_xlpm.txt,FIND("[",_xlpm.txt)+1,FIND("]",_xlpm.txt)-FIND("[",_xlpm.txt)-1),_xlpm.nums,VALUE(_xlfn.TEXTSPLIT(_xlpm.inside,",")),_xlpm.mapped,_xlfn.XLOOKUP(_xlpm.nums,$X$2:$X$100,$Y$2:$Y$100),SUBSTITUTE(_xlpm.txt,"["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"]")),H6)</f>
        <v>Fe salt recovery, regeneration of pickling acid, pigments [47]</v>
      </c>
      <c r="AH6" t="str" cm="1">
        <f t="array" ref="AH6">IFERROR(_xlfn.LET(_xlpm.txt,I6,_xlpm.inside,MID(_xlpm.txt,FIND("[",_xlpm.txt)+1,FIND("]",_xlpm.txt)-FIND("[",_xlpm.txt)-1),_xlpm.nums,VALUE(_xlfn.TEXTSPLIT(_xlpm.inside,",")),_xlpm.mapped,_xlfn.XLOOKUP(_xlpm.nums,$X$2:$X$100,$Y$2:$Y$100),SUBSTITUTE(_xlpm.txt,"["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"]")),I6)</f>
        <v>Not applicable</v>
      </c>
      <c r="AI6" t="str" cm="1">
        <f t="array" ref="AI6">IFERROR(_xlfn.LET(_xlpm.txt,J6,_xlpm.inside,MID(_xlpm.txt,FIND("[",_xlpm.txt)+1,FIND("]",_xlpm.txt)-FIND("[",_xlpm.txt)-1),_xlpm.nums,VALUE(_xlfn.TEXTSPLIT(_xlpm.inside,",")),_xlpm.mapped,_xlfn.XLOOKUP(_xlpm.nums,$X$2:$X$100,$Y$2:$Y$100),SUBSTITUTE(_xlpm.txt,"["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"]")),J6)</f>
        <v>Ni (battery grade) [47]</v>
      </c>
      <c r="AJ6" t="str" cm="1">
        <f t="array" ref="AJ6">IFERROR(_xlfn.LET(_xlpm.txt,K6,_xlpm.inside,MID(_xlpm.txt,FIND("[",_xlpm.txt)+1,FIND("]",_xlpm.txt)-FIND("[",_xlpm.txt)-1),_xlpm.nums,VALUE(_xlfn.TEXTSPLIT(_xlpm.inside,",")),_xlpm.mapped,_xlfn.XLOOKUP(_xlpm.nums,$X$2:$X$100,$Y$2:$Y$100),SUBSTITUTE(_xlpm.txt,"["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"]")),K6)</f>
        <v>Fe (21.68%)
Cr (2.42%)
Ni (2.78%)
Primarily rich in salts and secondary metals [47]</v>
      </c>
      <c r="AK6" t="str" cm="1">
        <f t="array" ref="AK6">IFERROR(_xlfn.LET(_xlpm.txt,L6,_xlpm.inside,MID(_xlpm.txt,FIND("[",_xlpm.txt)+1,FIND("]",_xlpm.txt)-FIND("[",_xlpm.txt)-1),_xlpm.nums,VALUE(_xlfn.TEXTSPLIT(_xlpm.inside,",")),_xlpm.mapped,_xlfn.XLOOKUP(_xlpm.nums,$X$2:$X$100,$Y$2:$Y$100),SUBSTITUTE(_xlpm.txt,"["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"]")),L6)</f>
        <v>Fluorite (CaF2) if neutralized
Metal hydroxide (Fe, Cr, Ni) [47]</v>
      </c>
      <c r="AL6" t="str" cm="1">
        <f t="array" ref="AL6">IFERROR(_xlfn.LET(_xlpm.txt,M6,_xlpm.inside,MID(_xlpm.txt,FIND("[",_xlpm.txt)+1,FIND("]",_xlpm.txt)-FIND("[",_xlpm.txt)-1),_xlpm.nums,VALUE(_xlfn.TEXTSPLIT(_xlpm.inside,",")),_xlpm.mapped,_xlfn.XLOOKUP(_xlpm.nums,$X$2:$X$100,$Y$2:$Y$100),SUBSTITUTE(_xlpm.txt,"["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"]")),M6)</f>
        <v>Fe, Cr, Ni, Ca, F [47]</v>
      </c>
      <c r="AM6" t="str" cm="1">
        <f t="array" ref="AM6">IFERROR(_xlfn.LET(_xlpm.txt,N6,_xlpm.inside,MID(_xlpm.txt,FIND("[",_xlpm.txt)+1,FIND("]",_xlpm.txt)-FIND("[",_xlpm.txt)-1),_xlpm.nums,VALUE(_xlfn.TEXTSPLIT(_xlpm.inside,",")),_xlpm.mapped,_xlfn.XLOOKUP(_xlpm.nums,$X$2:$X$100,$Y$2:$Y$100),SUBSTITUTE(_xlpm.txt,"["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"]")),N6)</f>
        <v>Wet solid or sludge: precipitated filter cake [47]</v>
      </c>
      <c r="AN6" t="str" cm="1">
        <f t="array" ref="AN6">IFERROR(_xlfn.LET(_xlpm.txt,O6,_xlpm.inside,MID(_xlpm.txt,FIND("[",_xlpm.txt)+1,FIND("]",_xlpm.txt)-FIND("[",_xlpm.txt)-1),_xlpm.nums,VALUE(_xlfn.TEXTSPLIT(_xlpm.inside,",")),_xlpm.mapped,_xlfn.XLOOKUP(_xlpm.nums,$X$2:$X$100,$Y$2:$Y$100),SUBSTITUTE(_xlpm.txt,"["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"]")),O6)</f>
        <v>Generated as minor byproduct [47]</v>
      </c>
      <c r="AO6" t="str" cm="1">
        <f t="array" ref="AO6">IFERROR(_xlfn.LET(_xlpm.txt,P6,_xlpm.inside,MID(_xlpm.txt,FIND("[",_xlpm.txt)+1,FIND("]",_xlpm.txt)-FIND("[",_xlpm.txt)-1),_xlpm.nums,VALUE(_xlfn.TEXTSPLIT(_xlpm.inside,",")),_xlpm.mapped,_xlfn.XLOOKUP(_xlpm.nums,$X$2:$X$100,$Y$2:$Y$100),SUBSTITUTE(_xlpm.txt,"["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"]")),P6)</f>
        <v>7.0–9.0: generated from neutralization precipitation of residue [47]</v>
      </c>
      <c r="AP6" t="str" cm="1">
        <f t="array" ref="AP6">IFERROR(_xlfn.LET(_xlpm.txt,Q6,_xlpm.inside,MID(_xlpm.txt,FIND("[",_xlpm.txt)+1,FIND("]",_xlpm.txt)-FIND("[",_xlpm.txt)-1),_xlpm.nums,VALUE(_xlfn.TEXTSPLIT(_xlpm.inside,",")),_xlpm.mapped,_xlfn.XLOOKUP(_xlpm.nums,$X$2:$X$100,$Y$2:$Y$100),SUBSTITUTE(_xlpm.txt,"["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"]")),Q6)</f>
        <v>Significant: neutralized precipitates handled as wet filter cake [47]</v>
      </c>
    </row>
    <row r="7" spans="1:42" ht="153" x14ac:dyDescent="0.2">
      <c r="A7" s="61" t="s">
        <v>307</v>
      </c>
      <c r="B7" s="4" t="s">
        <v>1050</v>
      </c>
      <c r="C7" s="4" t="s">
        <v>222</v>
      </c>
      <c r="D7" s="4" t="s">
        <v>1051</v>
      </c>
      <c r="E7" s="4" t="s">
        <v>1052</v>
      </c>
      <c r="F7" s="4" t="s">
        <v>1053</v>
      </c>
      <c r="G7" s="4" t="s">
        <v>1054</v>
      </c>
      <c r="H7" s="4" t="s">
        <v>1055</v>
      </c>
      <c r="I7" s="4" t="s">
        <v>1056</v>
      </c>
      <c r="J7" s="4" t="s">
        <v>1057</v>
      </c>
      <c r="K7" s="4" t="s">
        <v>1058</v>
      </c>
      <c r="L7" s="5" t="s">
        <v>841</v>
      </c>
      <c r="M7" s="5" t="s">
        <v>1059</v>
      </c>
      <c r="N7" s="5" t="s">
        <v>1060</v>
      </c>
      <c r="O7" s="4" t="s">
        <v>1061</v>
      </c>
      <c r="P7" s="4" t="s">
        <v>1062</v>
      </c>
      <c r="Q7" s="4" t="s">
        <v>1063</v>
      </c>
      <c r="X7" s="36">
        <v>6</v>
      </c>
      <c r="Y7" s="63">
        <v>9</v>
      </c>
      <c r="AA7" t="str" cm="1">
        <f t="array" ref="AA7">IFERROR(_xlfn.LET(_xlpm.txt,B7,_xlpm.inside,MID(_xlpm.txt,FIND("[",_xlpm.txt)+1,FIND("]",_xlpm.txt)-FIND("[",_xlpm.txt)-1),_xlpm.nums,VALUE(_xlfn.TEXTSPLIT(_xlpm.inside,",")),_xlpm.mapped,_xlfn.XLOOKUP(_xlpm.nums,$X$2:$X$100,$Y$2:$Y$100),SUBSTITUTE(_xlpm.txt,"["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"]")),B7)</f>
        <v>Scrap steel, direct reduced iron [4,6]</v>
      </c>
      <c r="AB7" t="str" cm="1">
        <f t="array" ref="AB7">IFERROR(_xlfn.LET(_xlpm.txt,C7,_xlpm.inside,MID(_xlpm.txt,FIND("[",_xlpm.txt)+1,FIND("]",_xlpm.txt)-FIND("[",_xlpm.txt)-1),_xlpm.nums,VALUE(_xlfn.TEXTSPLIT(_xlpm.inside,",")),_xlpm.mapped,_xlfn.XLOOKUP(_xlpm.nums,$X$2:$X$100,$Y$2:$Y$100),SUBSTITUTE(_xlpm.txt,"["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"]")),C7)</f>
        <v>Electric Arc Furnace (EAF) slag</v>
      </c>
      <c r="AC7" t="str" cm="1">
        <f t="array" ref="AC7">IFERROR(_xlfn.LET(_xlpm.txt,D7,_xlpm.inside,MID(_xlpm.txt,FIND("[",_xlpm.txt)+1,FIND("]",_xlpm.txt)-FIND("[",_xlpm.txt)-1),_xlpm.nums,VALUE(_xlfn.TEXTSPLIT(_xlpm.inside,",")),_xlpm.mapped,_xlfn.XLOOKUP(_xlpm.nums,$X$2:$X$100,$Y$2:$Y$100),SUBSTITUTE(_xlpm.txt,"["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"]")),D7)</f>
        <v>Electric Arc Furnace (EAF) steelmaking process [47,46]</v>
      </c>
      <c r="AD7" t="str" cm="1">
        <f t="array" ref="AD7">IFERROR(_xlfn.LET(_xlpm.txt,E7,_xlpm.inside,MID(_xlpm.txt,FIND("[",_xlpm.txt)+1,FIND("]",_xlpm.txt)-FIND("[",_xlpm.txt)-1),_xlpm.nums,VALUE(_xlfn.TEXTSPLIT(_xlpm.inside,",")),_xlpm.mapped,_xlfn.XLOOKUP(_xlpm.nums,$X$2:$X$100,$Y$2:$Y$100),SUBSTITUTE(_xlpm.txt,"["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"]")),E7)</f>
        <v>Magnetic separation to recover entrained metallic phases [18,4]
Carbonation to avoid Cr (VI) formation [17, 38]
Mechanical activation (Grinding) to enhance cementitious applications [38, 46]
Hot–stage foaming or slag formation for controlling FeO content [15]</v>
      </c>
      <c r="AE7" t="str" cm="1">
        <f t="array" ref="AE7">IFERROR(_xlfn.LET(_xlpm.txt,F7,_xlpm.inside,MID(_xlpm.txt,FIND("[",_xlpm.txt)+1,FIND("]",_xlpm.txt)-FIND("[",_xlpm.txt)-1),_xlpm.nums,VALUE(_xlfn.TEXTSPLIT(_xlpm.inside,",")),_xlpm.mapped,_xlfn.XLOOKUP(_xlpm.nums,$X$2:$X$100,$Y$2:$Y$100),SUBSTITUTE(_xlpm.txt,"["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"]")),F7)</f>
        <v>High metal droplets, variable composition, Cr (VI) risk [18,4]</v>
      </c>
      <c r="AF7" t="str" cm="1">
        <f t="array" ref="AF7">IFERROR(_xlfn.LET(_xlpm.txt,G7,_xlpm.inside,MID(_xlpm.txt,FIND("[",_xlpm.txt)+1,FIND("]",_xlpm.txt)-FIND("[",_xlpm.txt)-1),_xlpm.nums,VALUE(_xlfn.TEXTSPLIT(_xlpm.inside,",")),_xlpm.mapped,_xlfn.XLOOKUP(_xlpm.nums,$X$2:$X$100,$Y$2:$Y$100),SUBSTITUTE(_xlpm.txt,"["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"]")),G7)</f>
        <v>Recovery of alloy elements (Cr or V or Mo)that is economically beneficial [4,18]</v>
      </c>
      <c r="AG7" t="str" cm="1">
        <f t="array" ref="AG7">IFERROR(_xlfn.LET(_xlpm.txt,H7,_xlpm.inside,MID(_xlpm.txt,FIND("[",_xlpm.txt)+1,FIND("]",_xlpm.txt)-FIND("[",_xlpm.txt)-1),_xlpm.nums,VALUE(_xlfn.TEXTSPLIT(_xlpm.inside,",")),_xlpm.mapped,_xlfn.XLOOKUP(_xlpm.nums,$X$2:$X$100,$Y$2:$Y$100),SUBSTITUTE(_xlpm.txt,"["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"]")),H7)</f>
        <v>Aggregates, Supplementary Cementitious Material (SCM), Cr or V or Mo concentrates, alkali–activated binders [18,4]</v>
      </c>
      <c r="AH7" t="str" cm="1">
        <f t="array" ref="AH7">IFERROR(_xlfn.LET(_xlpm.txt,I7,_xlpm.inside,MID(_xlpm.txt,FIND("[",_xlpm.txt)+1,FIND("]",_xlpm.txt)-FIND("[",_xlpm.txt)-1),_xlpm.nums,VALUE(_xlfn.TEXTSPLIT(_xlpm.inside,",")),_xlpm.mapped,_xlfn.XLOOKUP(_xlpm.nums,$X$2:$X$100,$Y$2:$Y$100),SUBSTITUTE(_xlpm.txt,"["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"]")),I7)</f>
        <v>V, Nb, Al (bauxite), Ti, Mg [18]</v>
      </c>
      <c r="AI7" t="str" cm="1">
        <f t="array" ref="AI7">IFERROR(_xlfn.LET(_xlpm.txt,J7,_xlpm.inside,MID(_xlpm.txt,FIND("[",_xlpm.txt)+1,FIND("]",_xlpm.txt)-FIND("[",_xlpm.txt)-1),_xlpm.nums,VALUE(_xlfn.TEXTSPLIT(_xlpm.inside,",")),_xlpm.mapped,_xlfn.XLOOKUP(_xlpm.nums,$X$2:$X$100,$Y$2:$Y$100),SUBSTITUTE(_xlpm.txt,"["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"]")),J7)</f>
        <v>Mg metal, Ti metal [4]</v>
      </c>
      <c r="AJ7" t="str" cm="1">
        <f t="array" ref="AJ7">IFERROR(_xlfn.LET(_xlpm.txt,K7,_xlpm.inside,MID(_xlpm.txt,FIND("[",_xlpm.txt)+1,FIND("]",_xlpm.txt)-FIND("[",_xlpm.txt)-1),_xlpm.nums,VALUE(_xlfn.TEXTSPLIT(_xlpm.inside,",")),_xlpm.mapped,_xlfn.XLOOKUP(_xlpm.nums,$X$2:$X$100,$Y$2:$Y$100),SUBSTITUTE(_xlpm.txt,"["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"]")),K7)</f>
        <v>CaO (22–60%)
FeO (10–40%)
SiO2 (6–34%)
Al2O3 (3–14%)
Cr2O3 (~3.5%) [18]</v>
      </c>
      <c r="AK7" t="str" cm="1">
        <f t="array" ref="AK7">IFERROR(_xlfn.LET(_xlpm.txt,L7,_xlpm.inside,MID(_xlpm.txt,FIND("[",_xlpm.txt)+1,FIND("]",_xlpm.txt)-FIND("[",_xlpm.txt)-1),_xlpm.nums,VALUE(_xlfn.TEXTSPLIT(_xlpm.inside,",")),_xlpm.mapped,_xlfn.XLOOKUP(_xlpm.nums,$X$2:$X$100,$Y$2:$Y$100),SUBSTITUTE(_xlpm.txt,"["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"]")),L7)</f>
        <v>Larnite (Ca2​SiO4​)
Magnetite (Fe3​O4​)
Srebrodolskite (Ca2​Fe2​O5​)
Hematite (Fe2​O3​)
Chromite [(Fe,Mg)Cr2​O4​]
Wüstite [15]</v>
      </c>
      <c r="AL7" t="str" cm="1">
        <f t="array" ref="AL7">IFERROR(_xlfn.LET(_xlpm.txt,M7,_xlpm.inside,MID(_xlpm.txt,FIND("[",_xlpm.txt)+1,FIND("]",_xlpm.txt)-FIND("[",_xlpm.txt)-1),_xlpm.nums,VALUE(_xlfn.TEXTSPLIT(_xlpm.inside,",")),_xlpm.mapped,_xlfn.XLOOKUP(_xlpm.nums,$X$2:$X$100,$Y$2:$Y$100),SUBSTITUTE(_xlpm.txt,"["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"]")),M7)</f>
        <v>Ca, Fe, Si, Mg, Mn, Al, S, P, Cr, V, Ni, Cu, Pb, Zn [18]</v>
      </c>
      <c r="AM7" t="str" cm="1">
        <f t="array" ref="AM7">IFERROR(_xlfn.LET(_xlpm.txt,N7,_xlpm.inside,MID(_xlpm.txt,FIND("[",_xlpm.txt)+1,FIND("]",_xlpm.txt)-FIND("[",_xlpm.txt)-1),_xlpm.nums,VALUE(_xlfn.TEXTSPLIT(_xlpm.inside,",")),_xlpm.mapped,_xlfn.XLOOKUP(_xlpm.nums,$X$2:$X$100,$Y$2:$Y$100),SUBSTITUTE(_xlpm.txt,"["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"]")),N7)</f>
        <v>Solid state: stony or granular aggregate [18]</v>
      </c>
      <c r="AN7" t="str" cm="1">
        <f t="array" ref="AN7">IFERROR(_xlfn.LET(_xlpm.txt,O7,_xlpm.inside,MID(_xlpm.txt,FIND("[",_xlpm.txt)+1,FIND("]",_xlpm.txt)-FIND("[",_xlpm.txt)-1),_xlpm.nums,VALUE(_xlfn.TEXTSPLIT(_xlpm.inside,",")),_xlpm.mapped,_xlfn.XLOOKUP(_xlpm.nums,$X$2:$X$100,$Y$2:$Y$100),SUBSTITUTE(_xlpm.txt,"["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"]")),O7)</f>
        <v>60–270 kg/t Liquid Steel (LS) (avg. 165 kg/t) [6]</v>
      </c>
      <c r="AO7" t="str" cm="1">
        <f t="array" ref="AO7">IFERROR(_xlfn.LET(_xlpm.txt,P7,_xlpm.inside,MID(_xlpm.txt,FIND("[",_xlpm.txt)+1,FIND("]",_xlpm.txt)-FIND("[",_xlpm.txt)-1),_xlpm.nums,VALUE(_xlfn.TEXTSPLIT(_xlpm.inside,",")),_xlpm.mapped,_xlfn.XLOOKUP(_xlpm.nums,$X$2:$X$100,$Y$2:$Y$100),SUBSTITUTE(_xlpm.txt,"["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"]")),P7)</f>
        <v>10.0–12.0: highly alkaline, recorded at 11.7 approximately [9]</v>
      </c>
      <c r="AP7" t="str" cm="1">
        <f t="array" ref="AP7">IFERROR(_xlfn.LET(_xlpm.txt,Q7,_xlpm.inside,MID(_xlpm.txt,FIND("[",_xlpm.txt)+1,FIND("]",_xlpm.txt)-FIND("[",_xlpm.txt)-1),_xlpm.nums,VALUE(_xlfn.TEXTSPLIT(_xlpm.inside,",")),_xlpm.mapped,_xlfn.XLOOKUP(_xlpm.nums,$X$2:$X$100,$Y$2:$Y$100),SUBSTITUTE(_xlpm.txt,"["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"]")),Q7)</f>
        <v>Negligible: stony solid aggregates [18]</v>
      </c>
    </row>
    <row r="8" spans="1:42" ht="119" x14ac:dyDescent="0.2">
      <c r="A8" s="61" t="s">
        <v>307</v>
      </c>
      <c r="B8" s="4" t="s">
        <v>1050</v>
      </c>
      <c r="C8" s="4" t="s">
        <v>308</v>
      </c>
      <c r="D8" s="4" t="s">
        <v>1064</v>
      </c>
      <c r="E8" s="4" t="s">
        <v>1065</v>
      </c>
      <c r="F8" s="4" t="s">
        <v>1066</v>
      </c>
      <c r="G8" s="4" t="s">
        <v>1067</v>
      </c>
      <c r="H8" s="4" t="s">
        <v>1068</v>
      </c>
      <c r="I8" s="4" t="s">
        <v>1069</v>
      </c>
      <c r="J8" s="4" t="s">
        <v>237</v>
      </c>
      <c r="K8" s="4" t="s">
        <v>1070</v>
      </c>
      <c r="L8" s="4" t="s">
        <v>1071</v>
      </c>
      <c r="M8" s="4" t="s">
        <v>1072</v>
      </c>
      <c r="N8" s="4" t="s">
        <v>1073</v>
      </c>
      <c r="O8" s="4" t="s">
        <v>1074</v>
      </c>
      <c r="P8" s="4" t="s">
        <v>1075</v>
      </c>
      <c r="Q8" s="4" t="s">
        <v>1076</v>
      </c>
      <c r="X8" s="36">
        <v>7</v>
      </c>
      <c r="Y8" s="63">
        <v>47</v>
      </c>
      <c r="AA8" t="str" cm="1">
        <f t="array" ref="AA8">IFERROR(_xlfn.LET(_xlpm.txt,B8,_xlpm.inside,MID(_xlpm.txt,FIND("[",_xlpm.txt)+1,FIND("]",_xlpm.txt)-FIND("[",_xlpm.txt)-1),_xlpm.nums,VALUE(_xlfn.TEXTSPLIT(_xlpm.inside,",")),_xlpm.mapped,_xlfn.XLOOKUP(_xlpm.nums,$X$2:$X$100,$Y$2:$Y$100),SUBSTITUTE(_xlpm.txt,"["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"]")),B8)</f>
        <v>Scrap steel, direct reduced iron [4,6]</v>
      </c>
      <c r="AB8" t="str" cm="1">
        <f t="array" ref="AB8">IFERROR(_xlfn.LET(_xlpm.txt,C8,_xlpm.inside,MID(_xlpm.txt,FIND("[",_xlpm.txt)+1,FIND("]",_xlpm.txt)-FIND("[",_xlpm.txt)-1),_xlpm.nums,VALUE(_xlfn.TEXTSPLIT(_xlpm.inside,",")),_xlpm.mapped,_xlfn.XLOOKUP(_xlpm.nums,$X$2:$X$100,$Y$2:$Y$100),SUBSTITUTE(_xlpm.txt,"["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"]")),C8)</f>
        <v>Electric Arc Furnace (EAF) dust – Zn–rich</v>
      </c>
      <c r="AC8" t="str" cm="1">
        <f t="array" ref="AC8">IFERROR(_xlfn.LET(_xlpm.txt,D8,_xlpm.inside,MID(_xlpm.txt,FIND("[",_xlpm.txt)+1,FIND("]",_xlpm.txt)-FIND("[",_xlpm.txt)-1),_xlpm.nums,VALUE(_xlfn.TEXTSPLIT(_xlpm.inside,",")),_xlpm.mapped,_xlfn.XLOOKUP(_xlpm.nums,$X$2:$X$100,$Y$2:$Y$100),SUBSTITUTE(_xlpm.txt,"["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"]")),D8)</f>
        <v>EAF off–gas cleaning – baghouse or Electrostatic Precipitator (ESP) dust [47]</v>
      </c>
      <c r="AD8" t="str" cm="1">
        <f t="array" ref="AD8">IFERROR(_xlfn.LET(_xlpm.txt,E8,_xlpm.inside,MID(_xlpm.txt,FIND("[",_xlpm.txt)+1,FIND("]",_xlpm.txt)-FIND("[",_xlpm.txt)-1),_xlpm.nums,VALUE(_xlfn.TEXTSPLIT(_xlpm.inside,",")),_xlpm.mapped,_xlfn.XLOOKUP(_xlpm.nums,$X$2:$X$100,$Y$2:$Y$100),SUBSTITUTE(_xlpm.txt,"["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"]")),E8)</f>
        <v>Waelz kiln volatilisation process to produce ZnO fume [39]
Hydrometallurgical leaching through acid or alkali [8, 11]
Chloride removal or dechlorination [8]
Agglomeration and reduction for Fe recovery [11]</v>
      </c>
      <c r="AE8" t="str" cm="1">
        <f t="array" ref="AE8">IFERROR(_xlfn.LET(_xlpm.txt,F8,_xlpm.inside,MID(_xlpm.txt,FIND("[",_xlpm.txt)+1,FIND("]",_xlpm.txt)-FIND("[",_xlpm.txt)-1),_xlpm.nums,VALUE(_xlfn.TEXTSPLIT(_xlpm.inside,",")),_xlpm.mapped,_xlfn.XLOOKUP(_xlpm.nums,$X$2:$X$100,$Y$2:$Y$100),SUBSTITUTE(_xlpm.txt,"["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"]")),F8)</f>
        <v>Hazardous presence of Pb or Cd or Cr, fine particles, Cl contamination [47,51]</v>
      </c>
      <c r="AF8" t="str" cm="1">
        <f t="array" ref="AF8">IFERROR(_xlfn.LET(_xlpm.txt,G8,_xlpm.inside,MID(_xlpm.txt,FIND("[",_xlpm.txt)+1,FIND("]",_xlpm.txt)-FIND("[",_xlpm.txt)-1),_xlpm.nums,VALUE(_xlfn.TEXTSPLIT(_xlpm.inside,",")),_xlpm.mapped,_xlfn.XLOOKUP(_xlpm.nums,$X$2:$X$100,$Y$2:$Y$100),SUBSTITUTE(_xlpm.txt,"["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"]")),G8)</f>
        <v>Major secondary source of Zn globally, advantageous Waelz processing [51,4]</v>
      </c>
      <c r="AG8" t="str" cm="1">
        <f t="array" ref="AG8">IFERROR(_xlfn.LET(_xlpm.txt,H8,_xlpm.inside,MID(_xlpm.txt,FIND("[",_xlpm.txt)+1,FIND("]",_xlpm.txt)-FIND("[",_xlpm.txt)-1),_xlpm.nums,VALUE(_xlfn.TEXTSPLIT(_xlpm.inside,",")),_xlpm.mapped,_xlfn.XLOOKUP(_xlpm.nums,$X$2:$X$100,$Y$2:$Y$100),SUBSTITUTE(_xlpm.txt,"["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"]")),H8)</f>
        <v>High–grade ZnO, Zn metal, Fe–rich pellets, insulators [51]</v>
      </c>
      <c r="AH8" t="str" cm="1">
        <f t="array" ref="AH8">IFERROR(_xlfn.LET(_xlpm.txt,I8,_xlpm.inside,MID(_xlpm.txt,FIND("[",_xlpm.txt)+1,FIND("]",_xlpm.txt)-FIND("[",_xlpm.txt)-1),_xlpm.nums,VALUE(_xlfn.TEXTSPLIT(_xlpm.inside,",")),_xlpm.mapped,_xlfn.XLOOKUP(_xlpm.nums,$X$2:$X$100,$Y$2:$Y$100),SUBSTITUTE(_xlpm.txt,"["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"]")),I8)</f>
        <v>As [51]</v>
      </c>
      <c r="AI8" t="str" cm="1">
        <f t="array" ref="AI8">IFERROR(_xlfn.LET(_xlpm.txt,J8,_xlpm.inside,MID(_xlpm.txt,FIND("[",_xlpm.txt)+1,FIND("]",_xlpm.txt)-FIND("[",_xlpm.txt)-1),_xlpm.nums,VALUE(_xlfn.TEXTSPLIT(_xlpm.inside,",")),_xlpm.mapped,_xlfn.XLOOKUP(_xlpm.nums,$X$2:$X$100,$Y$2:$Y$100),SUBSTITUTE(_xlpm.txt,"["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"]")),J8)</f>
        <v>Not applicable</v>
      </c>
      <c r="AJ8" t="str" cm="1">
        <f t="array" ref="AJ8">IFERROR(_xlfn.LET(_xlpm.txt,K8,_xlpm.inside,MID(_xlpm.txt,FIND("[",_xlpm.txt)+1,FIND("]",_xlpm.txt)-FIND("[",_xlpm.txt)-1),_xlpm.nums,VALUE(_xlfn.TEXTSPLIT(_xlpm.inside,",")),_xlpm.mapped,_xlfn.XLOOKUP(_xlpm.nums,$X$2:$X$100,$Y$2:$Y$100),SUBSTITUTE(_xlpm.txt,"["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"]")),K8)</f>
        <v>Zn (up to 37%)
Total Fe (35.1%)
Pb (3.1%)
Cd (traces) [51]</v>
      </c>
      <c r="AK8" t="str" cm="1">
        <f t="array" ref="AK8">IFERROR(_xlfn.LET(_xlpm.txt,L8,_xlpm.inside,MID(_xlpm.txt,FIND("[",_xlpm.txt)+1,FIND("]",_xlpm.txt)-FIND("[",_xlpm.txt)-1),_xlpm.nums,VALUE(_xlfn.TEXTSPLIT(_xlpm.inside,",")),_xlpm.mapped,_xlfn.XLOOKUP(_xlpm.nums,$X$2:$X$100,$Y$2:$Y$100),SUBSTITUTE(_xlpm.txt,"["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"]")),L8)</f>
        <v>Franklinite (ZnFe2​O4​)
Magnetite (Fe3​O4​)
Zincite (ZnO)
Halite (NaCl) [51]</v>
      </c>
      <c r="AL8" t="str" cm="1">
        <f t="array" ref="AL8">IFERROR(_xlfn.LET(_xlpm.txt,M8,_xlpm.inside,MID(_xlpm.txt,FIND("[",_xlpm.txt)+1,FIND("]",_xlpm.txt)-FIND("[",_xlpm.txt)-1),_xlpm.nums,VALUE(_xlfn.TEXTSPLIT(_xlpm.inside,",")),_xlpm.mapped,_xlfn.XLOOKUP(_xlpm.nums,$X$2:$X$100,$Y$2:$Y$100),SUBSTITUTE(_xlpm.txt,"["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"]")),M8)</f>
        <v>Zn, Fe, Pb, Cd, Cl, Na, Mn, Al, Cr, K [51]</v>
      </c>
      <c r="AM8" t="str" cm="1">
        <f t="array" ref="AM8">IFERROR(_xlfn.LET(_xlpm.txt,N8,_xlpm.inside,MID(_xlpm.txt,FIND("[",_xlpm.txt)+1,FIND("]",_xlpm.txt)-FIND("[",_xlpm.txt)-1),_xlpm.nums,VALUE(_xlfn.TEXTSPLIT(_xlpm.inside,",")),_xlpm.mapped,_xlfn.XLOOKUP(_xlpm.nums,$X$2:$X$100,$Y$2:$Y$100),SUBSTITUTE(_xlpm.txt,"["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"]")),N8)</f>
        <v>Solid state: fine powder, often characterized by spherical particles [24]</v>
      </c>
      <c r="AN8" t="str" cm="1">
        <f t="array" ref="AN8">IFERROR(_xlfn.LET(_xlpm.txt,O8,_xlpm.inside,MID(_xlpm.txt,FIND("[",_xlpm.txt)+1,FIND("]",_xlpm.txt)-FIND("[",_xlpm.txt)-1),_xlpm.nums,VALUE(_xlfn.TEXTSPLIT(_xlpm.inside,",")),_xlpm.mapped,_xlfn.XLOOKUP(_xlpm.nums,$X$2:$X$100,$Y$2:$Y$100),SUBSTITUTE(_xlpm.txt,"["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"]")),O8)</f>
        <v>10–30 kg/t Liquid Steel (LS) (avg. 20 kg/t) [6]</v>
      </c>
      <c r="AO8" t="str" cm="1">
        <f t="array" ref="AO8">IFERROR(_xlfn.LET(_xlpm.txt,P8,_xlpm.inside,MID(_xlpm.txt,FIND("[",_xlpm.txt)+1,FIND("]",_xlpm.txt)-FIND("[",_xlpm.txt)-1),_xlpm.nums,VALUE(_xlfn.TEXTSPLIT(_xlpm.inside,",")),_xlpm.mapped,_xlfn.XLOOKUP(_xlpm.nums,$X$2:$X$100,$Y$2:$Y$100),SUBSTITUTE(_xlpm.txt,"["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"]")),P8)</f>
        <v>12.0 approximately: natural pH in water wash [9]</v>
      </c>
      <c r="AP8" t="str" cm="1">
        <f t="array" ref="AP8">IFERROR(_xlfn.LET(_xlpm.txt,Q8,_xlpm.inside,MID(_xlpm.txt,FIND("[",_xlpm.txt)+1,FIND("]",_xlpm.txt)-FIND("[",_xlpm.txt)-1),_xlpm.nums,VALUE(_xlfn.TEXTSPLIT(_xlpm.inside,",")),_xlpm.mapped,_xlfn.XLOOKUP(_xlpm.nums,$X$2:$X$100,$Y$2:$Y$100),SUBSTITUTE(_xlpm.txt,"["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"]")),Q8)</f>
        <v>Low: fine dry powder collected in baghouses or ESP filters [51]</v>
      </c>
    </row>
    <row r="9" spans="1:42" ht="170" x14ac:dyDescent="0.2">
      <c r="A9" s="61" t="s">
        <v>307</v>
      </c>
      <c r="B9" s="4" t="s">
        <v>1050</v>
      </c>
      <c r="C9" s="4" t="s">
        <v>3</v>
      </c>
      <c r="D9" s="4" t="s">
        <v>1077</v>
      </c>
      <c r="E9" s="4" t="s">
        <v>1078</v>
      </c>
      <c r="F9" s="4" t="s">
        <v>1079</v>
      </c>
      <c r="G9" s="4" t="s">
        <v>1080</v>
      </c>
      <c r="H9" s="4" t="s">
        <v>1081</v>
      </c>
      <c r="I9" s="4" t="s">
        <v>1082</v>
      </c>
      <c r="J9" s="4" t="s">
        <v>1083</v>
      </c>
      <c r="K9" s="4" t="s">
        <v>1084</v>
      </c>
      <c r="L9" s="4" t="s">
        <v>1085</v>
      </c>
      <c r="M9" s="4" t="s">
        <v>1086</v>
      </c>
      <c r="N9" s="4" t="s">
        <v>689</v>
      </c>
      <c r="O9" s="4" t="s">
        <v>1087</v>
      </c>
      <c r="P9" s="4" t="s">
        <v>1088</v>
      </c>
      <c r="Q9" s="4" t="s">
        <v>1089</v>
      </c>
      <c r="X9" s="36">
        <v>8</v>
      </c>
      <c r="Y9" s="63">
        <v>37</v>
      </c>
      <c r="AA9" t="str" cm="1">
        <f t="array" ref="AA9">IFERROR(_xlfn.LET(_xlpm.txt,B9,_xlpm.inside,MID(_xlpm.txt,FIND("[",_xlpm.txt)+1,FIND("]",_xlpm.txt)-FIND("[",_xlpm.txt)-1),_xlpm.nums,VALUE(_xlfn.TEXTSPLIT(_xlpm.inside,",")),_xlpm.mapped,_xlfn.XLOOKUP(_xlpm.nums,$X$2:$X$100,$Y$2:$Y$100),SUBSTITUTE(_xlpm.txt,"["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"]")),B9)</f>
        <v>Scrap steel, direct reduced iron [4,6]</v>
      </c>
      <c r="AB9" t="str" cm="1">
        <f t="array" ref="AB9">IFERROR(_xlfn.LET(_xlpm.txt,C9,_xlpm.inside,MID(_xlpm.txt,FIND("[",_xlpm.txt)+1,FIND("]",_xlpm.txt)-FIND("[",_xlpm.txt)-1),_xlpm.nums,VALUE(_xlfn.TEXTSPLIT(_xlpm.inside,",")),_xlpm.mapped,_xlfn.XLOOKUP(_xlpm.nums,$X$2:$X$100,$Y$2:$Y$100),SUBSTITUTE(_xlpm.txt,"["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"]")),C9)</f>
        <v>Stainless steel slag</v>
      </c>
      <c r="AC9" t="str" cm="1">
        <f t="array" ref="AC9">IFERROR(_xlfn.LET(_xlpm.txt,D9,_xlpm.inside,MID(_xlpm.txt,FIND("[",_xlpm.txt)+1,FIND("]",_xlpm.txt)-FIND("[",_xlpm.txt)-1),_xlpm.nums,VALUE(_xlfn.TEXTSPLIT(_xlpm.inside,",")),_xlpm.mapped,_xlfn.XLOOKUP(_xlpm.nums,$X$2:$X$100,$Y$2:$Y$100),SUBSTITUTE(_xlpm.txt,"["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"]")),D9)</f>
        <v>Stainless steelmaking – EAF or Ladle furnace (LF) [23,47]</v>
      </c>
      <c r="AD9" t="str" cm="1">
        <f t="array" ref="AD9">IFERROR(_xlfn.LET(_xlpm.txt,E9,_xlpm.inside,MID(_xlpm.txt,FIND("[",_xlpm.txt)+1,FIND("]",_xlpm.txt)-FIND("[",_xlpm.txt)-1),_xlpm.nums,VALUE(_xlfn.TEXTSPLIT(_xlpm.inside,",")),_xlpm.mapped,_xlfn.XLOOKUP(_xlpm.nums,$X$2:$X$100,$Y$2:$Y$100),SUBSTITUTE(_xlpm.txt,"["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"]")),E9)</f>
        <v>Metal recovery of Cr or Ni or Mo through magnetic or density separation [23]
Free–lime stabilisation via aging process [23]
Carbonation for immobilisation of heavy–metals [38]
Thermal or chemical activation for Supplementary Cementitious Material (SCM) use [46, 18]</v>
      </c>
      <c r="AE9" t="str" cm="1">
        <f t="array" ref="AE9">IFERROR(_xlfn.LET(_xlpm.txt,F9,_xlpm.inside,MID(_xlpm.txt,FIND("[",_xlpm.txt)+1,FIND("]",_xlpm.txt)-FIND("[",_xlpm.txt)-1),_xlpm.nums,VALUE(_xlfn.TEXTSPLIT(_xlpm.inside,",")),_xlpm.mapped,_xlfn.XLOOKUP(_xlpm.nums,$X$2:$X$100,$Y$2:$Y$100),SUBSTITUTE(_xlpm.txt,"["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"]")),F9)</f>
        <v>Heavy metal content, variability, free–lime expansion [4]</v>
      </c>
      <c r="AF9" t="str" cm="1">
        <f t="array" ref="AF9">IFERROR(_xlfn.LET(_xlpm.txt,G9,_xlpm.inside,MID(_xlpm.txt,FIND("[",_xlpm.txt)+1,FIND("]",_xlpm.txt)-FIND("[",_xlpm.txt)-1),_xlpm.nums,VALUE(_xlfn.TEXTSPLIT(_xlpm.inside,",")),_xlpm.mapped,_xlfn.XLOOKUP(_xlpm.nums,$X$2:$X$100,$Y$2:$Y$100),SUBSTITUTE(_xlpm.txt,"["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"]")),G9)</f>
        <v>Contains high value SRMs (Cr or Ni or Mo or Ti) [47]</v>
      </c>
      <c r="AG9" t="str" cm="1">
        <f t="array" ref="AG9">IFERROR(_xlfn.LET(_xlpm.txt,H9,_xlpm.inside,MID(_xlpm.txt,FIND("[",_xlpm.txt)+1,FIND("]",_xlpm.txt)-FIND("[",_xlpm.txt)-1),_xlpm.nums,VALUE(_xlfn.TEXTSPLIT(_xlpm.inside,",")),_xlpm.mapped,_xlfn.XLOOKUP(_xlpm.nums,$X$2:$X$100,$Y$2:$Y$100),SUBSTITUTE(_xlpm.txt,"["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"]")),H9)</f>
        <v>Metallic reverts, Precipitated Calcium Carbonate (PCC), geopolymers, aggregates [4]</v>
      </c>
      <c r="AH9" t="str" cm="1">
        <f t="array" ref="AH9">IFERROR(_xlfn.LET(_xlpm.txt,I9,_xlpm.inside,MID(_xlpm.txt,FIND("[",_xlpm.txt)+1,FIND("]",_xlpm.txt)-FIND("[",_xlpm.txt)-1),_xlpm.nums,VALUE(_xlfn.TEXTSPLIT(_xlpm.inside,",")),_xlpm.mapped,_xlfn.XLOOKUP(_xlpm.nums,$X$2:$X$100,$Y$2:$Y$100),SUBSTITUTE(_xlpm.txt,"["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"]")),I9)</f>
        <v>V [18]</v>
      </c>
      <c r="AI9" t="str" cm="1">
        <f t="array" ref="AI9">IFERROR(_xlfn.LET(_xlpm.txt,J9,_xlpm.inside,MID(_xlpm.txt,FIND("[",_xlpm.txt)+1,FIND("]",_xlpm.txt)-FIND("[",_xlpm.txt)-1),_xlpm.nums,VALUE(_xlfn.TEXTSPLIT(_xlpm.inside,",")),_xlpm.mapped,_xlfn.XLOOKUP(_xlpm.nums,$X$2:$X$100,$Y$2:$Y$100),SUBSTITUTE(_xlpm.txt,"["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"]")),J9)</f>
        <v>Ni, Ti metal [18]</v>
      </c>
      <c r="AJ9" t="str" cm="1">
        <f t="array" ref="AJ9">IFERROR(_xlfn.LET(_xlpm.txt,K9,_xlpm.inside,MID(_xlpm.txt,FIND("[",_xlpm.txt)+1,FIND("]",_xlpm.txt)-FIND("[",_xlpm.txt)-1),_xlpm.nums,VALUE(_xlfn.TEXTSPLIT(_xlpm.inside,",")),_xlpm.mapped,_xlfn.XLOOKUP(_xlpm.nums,$X$2:$X$100,$Y$2:$Y$100),SUBSTITUTE(_xlpm.txt,"["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"]")),K9)</f>
        <v>Cr2O3 (0.5–7%)
CaO (40–55%)
SiO2 (25–30%)
MgO (5–12%) [4]</v>
      </c>
      <c r="AK9" t="str" cm="1">
        <f t="array" ref="AK9">IFERROR(_xlfn.LET(_xlpm.txt,L9,_xlpm.inside,MID(_xlpm.txt,FIND("[",_xlpm.txt)+1,FIND("]",_xlpm.txt)-FIND("[",_xlpm.txt)-1),_xlpm.nums,VALUE(_xlfn.TEXTSPLIT(_xlpm.inside,",")),_xlpm.mapped,_xlfn.XLOOKUP(_xlpm.nums,$X$2:$X$100,$Y$2:$Y$100),SUBSTITUTE(_xlpm.txt,"["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"]")),L9)</f>
        <v>β−Dicalcium−silicate (Ca2​SiO4​)
Bredigite (Ca1.7​Mg0.3​SiO4​)
Cuspidine (Ca24F2​Si2O7​)
Gehlenite [4]</v>
      </c>
      <c r="AL9" t="str" cm="1">
        <f t="array" ref="AL9">IFERROR(_xlfn.LET(_xlpm.txt,M9,_xlpm.inside,MID(_xlpm.txt,FIND("[",_xlpm.txt)+1,FIND("]",_xlpm.txt)-FIND("[",_xlpm.txt)-1),_xlpm.nums,VALUE(_xlfn.TEXTSPLIT(_xlpm.inside,",")),_xlpm.mapped,_xlfn.XLOOKUP(_xlpm.nums,$X$2:$X$100,$Y$2:$Y$100),SUBSTITUTE(_xlpm.txt,"["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"]")),M9)</f>
        <v>Cr, Ca, Si, Mg, Ni, Mo, Ti, V, Mn, Fe, Al, F [4]</v>
      </c>
      <c r="AM9" t="str" cm="1">
        <f t="array" ref="AM9">IFERROR(_xlfn.LET(_xlpm.txt,N9,_xlpm.inside,MID(_xlpm.txt,FIND("[",_xlpm.txt)+1,FIND("]",_xlpm.txt)-FIND("[",_xlpm.txt)-1),_xlpm.nums,VALUE(_xlfn.TEXTSPLIT(_xlpm.inside,",")),_xlpm.mapped,_xlfn.XLOOKUP(_xlpm.nums,$X$2:$X$100,$Y$2:$Y$100),SUBSTITUTE(_xlpm.txt,"["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"]")),N9)</f>
        <v>Solid state: granular or rocky aggregate [23]</v>
      </c>
      <c r="AN9" t="str" cm="1">
        <f t="array" ref="AN9">IFERROR(_xlfn.LET(_xlpm.txt,O9,_xlpm.inside,MID(_xlpm.txt,FIND("[",_xlpm.txt)+1,FIND("]",_xlpm.txt)-FIND("[",_xlpm.txt)-1),_xlpm.nums,VALUE(_xlfn.TEXTSPLIT(_xlpm.inside,",")),_xlpm.mapped,_xlfn.XLOOKUP(_xlpm.nums,$X$2:$X$100,$Y$2:$Y$100),SUBSTITUTE(_xlpm.txt,"["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"]")),O9)</f>
        <v>Estimated to be 15–17 Mt global annual amount production [4]</v>
      </c>
      <c r="AO9" t="str" cm="1">
        <f t="array" ref="AO9">IFERROR(_xlfn.LET(_xlpm.txt,P9,_xlpm.inside,MID(_xlpm.txt,FIND("[",_xlpm.txt)+1,FIND("]",_xlpm.txt)-FIND("[",_xlpm.txt)-1),_xlpm.nums,VALUE(_xlfn.TEXTSPLIT(_xlpm.inside,",")),_xlpm.mapped,_xlfn.XLOOKUP(_xlpm.nums,$X$2:$X$100,$Y$2:$Y$100),SUBSTITUTE(_xlpm.txt,"["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"]")),P9)</f>
        <v>Highly basic: used for neutralising acidic wastewater [4]</v>
      </c>
      <c r="AP9" t="str" cm="1">
        <f t="array" ref="AP9">IFERROR(_xlfn.LET(_xlpm.txt,Q9,_xlpm.inside,MID(_xlpm.txt,FIND("[",_xlpm.txt)+1,FIND("]",_xlpm.txt)-FIND("[",_xlpm.txt)-1),_xlpm.nums,VALUE(_xlfn.TEXTSPLIT(_xlpm.inside,",")),_xlpm.mapped,_xlfn.XLOOKUP(_xlpm.nums,$X$2:$X$100,$Y$2:$Y$100),SUBSTITUTE(_xlpm.txt,"["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"]")),Q9)</f>
        <v>Low: solid granular aggregate [4]</v>
      </c>
    </row>
    <row r="10" spans="1:42" ht="187" x14ac:dyDescent="0.2">
      <c r="A10" s="61" t="s">
        <v>307</v>
      </c>
      <c r="B10" s="4" t="s">
        <v>1050</v>
      </c>
      <c r="C10" s="4" t="s">
        <v>4</v>
      </c>
      <c r="D10" s="4" t="s">
        <v>1090</v>
      </c>
      <c r="E10" s="4" t="s">
        <v>1091</v>
      </c>
      <c r="F10" s="4" t="s">
        <v>1092</v>
      </c>
      <c r="G10" s="4" t="s">
        <v>1093</v>
      </c>
      <c r="H10" s="4" t="s">
        <v>1094</v>
      </c>
      <c r="I10" s="4" t="s">
        <v>1095</v>
      </c>
      <c r="J10" s="4" t="s">
        <v>1096</v>
      </c>
      <c r="K10" s="4" t="s">
        <v>1097</v>
      </c>
      <c r="L10" s="4" t="s">
        <v>1098</v>
      </c>
      <c r="M10" s="4" t="s">
        <v>1099</v>
      </c>
      <c r="N10" s="4" t="s">
        <v>1100</v>
      </c>
      <c r="O10" s="4" t="s">
        <v>1101</v>
      </c>
      <c r="P10" s="4" t="s">
        <v>1102</v>
      </c>
      <c r="Q10" s="4" t="s">
        <v>1103</v>
      </c>
      <c r="X10" s="36">
        <v>10</v>
      </c>
      <c r="Y10" s="63">
        <v>24</v>
      </c>
      <c r="AA10" t="str" cm="1">
        <f t="array" ref="AA10">IFERROR(_xlfn.LET(_xlpm.txt,B10,_xlpm.inside,MID(_xlpm.txt,FIND("[",_xlpm.txt)+1,FIND("]",_xlpm.txt)-FIND("[",_xlpm.txt)-1),_xlpm.nums,VALUE(_xlfn.TEXTSPLIT(_xlpm.inside,",")),_xlpm.mapped,_xlfn.XLOOKUP(_xlpm.nums,$X$2:$X$100,$Y$2:$Y$100),SUBSTITUTE(_xlpm.txt,"["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"]")),B10)</f>
        <v>Scrap steel, direct reduced iron [4,6]</v>
      </c>
      <c r="AB10" t="str" cm="1">
        <f t="array" ref="AB10">IFERROR(_xlfn.LET(_xlpm.txt,C10,_xlpm.inside,MID(_xlpm.txt,FIND("[",_xlpm.txt)+1,FIND("]",_xlpm.txt)-FIND("[",_xlpm.txt)-1),_xlpm.nums,VALUE(_xlfn.TEXTSPLIT(_xlpm.inside,",")),_xlpm.mapped,_xlfn.XLOOKUP(_xlpm.nums,$X$2:$X$100,$Y$2:$Y$100),SUBSTITUTE(_xlpm.txt,"["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"]")),C10)</f>
        <v>Ladle slag</v>
      </c>
      <c r="AC10" t="str" cm="1">
        <f t="array" ref="AC10">IFERROR(_xlfn.LET(_xlpm.txt,D10,_xlpm.inside,MID(_xlpm.txt,FIND("[",_xlpm.txt)+1,FIND("]",_xlpm.txt)-FIND("[",_xlpm.txt)-1),_xlpm.nums,VALUE(_xlfn.TEXTSPLIT(_xlpm.inside,",")),_xlpm.mapped,_xlfn.XLOOKUP(_xlpm.nums,$X$2:$X$100,$Y$2:$Y$100),SUBSTITUTE(_xlpm.txt,"["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"]")),D10)</f>
        <v>Secondary steel refining – Ladle furnace (LF) [46,4,34]</v>
      </c>
      <c r="AD10" t="str" cm="1">
        <f t="array" ref="AD10">IFERROR(_xlfn.LET(_xlpm.txt,E10,_xlpm.inside,MID(_xlpm.txt,FIND("[",_xlpm.txt)+1,FIND("]",_xlpm.txt)-FIND("[",_xlpm.txt)-1),_xlpm.nums,VALUE(_xlfn.TEXTSPLIT(_xlpm.inside,",")),_xlpm.mapped,_xlfn.XLOOKUP(_xlpm.nums,$X$2:$X$100,$Y$2:$Y$100),SUBSTITUTE(_xlpm.txt,"["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"]")),E10)</f>
        <v>Aging to complete y–C2S (gamma–dicalcium silicate) transformation for preventing dust and stabilising expansion [23]
Crushing and sieving for soil–stabilisation feedstock used in cementitious applications [46]
Mechanical activation (i.e., milling) of Supplementary Cementitious Material (SCM) or geopolymer to increase reactivity by fine grinding [38, 46]</v>
      </c>
      <c r="AE10" t="str" cm="1">
        <f t="array" ref="AE10">IFERROR(_xlfn.LET(_xlpm.txt,F10,_xlpm.inside,MID(_xlpm.txt,FIND("[",_xlpm.txt)+1,FIND("]",_xlpm.txt)-FIND("[",_xlpm.txt)-1),_xlpm.nums,VALUE(_xlfn.TEXTSPLIT(_xlpm.inside,",")),_xlpm.mapped,_xlfn.XLOOKUP(_xlpm.nums,$X$2:$X$100,$Y$2:$Y$100),SUBSTITUTE(_xlpm.txt,"["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"]")),F10)</f>
        <v>High basicity and dusting,instability of volume [34]</v>
      </c>
      <c r="AF10" t="str" cm="1">
        <f t="array" ref="AF10">IFERROR(_xlfn.LET(_xlpm.txt,G10,_xlpm.inside,MID(_xlpm.txt,FIND("[",_xlpm.txt)+1,FIND("]",_xlpm.txt)-FIND("[",_xlpm.txt)-1),_xlpm.nums,VALUE(_xlfn.TEXTSPLIT(_xlpm.inside,",")),_xlpm.mapped,_xlfn.XLOOKUP(_xlpm.nums,$X$2:$X$100,$Y$2:$Y$100),SUBSTITUTE(_xlpm.txt,"["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"]")),G10)</f>
        <v>Supplementary Cementitious Material (SCM) or geopolymer usage suitable for lowering the cement cost [4,9]</v>
      </c>
      <c r="AG10" t="str" cm="1">
        <f t="array" ref="AG10">IFERROR(_xlfn.LET(_xlpm.txt,H10,_xlpm.inside,MID(_xlpm.txt,FIND("[",_xlpm.txt)+1,FIND("]",_xlpm.txt)-FIND("[",_xlpm.txt)-1),_xlpm.nums,VALUE(_xlfn.TEXTSPLIT(_xlpm.inside,",")),_xlpm.mapped,_xlfn.XLOOKUP(_xlpm.nums,$X$2:$X$100,$Y$2:$Y$100),SUBSTITUTE(_xlpm.txt,"["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"]")),H10)</f>
        <v>Quicklime subsitute, soil stabilisation, Supplementary Cementitious Material (SCM) or geopolymers [46,4]</v>
      </c>
      <c r="AH10" t="str" cm="1">
        <f t="array" ref="AH10">IFERROR(_xlfn.LET(_xlpm.txt,I10,_xlpm.inside,MID(_xlpm.txt,FIND("[",_xlpm.txt)+1,FIND("]",_xlpm.txt)-FIND("[",_xlpm.txt)-1),_xlpm.nums,VALUE(_xlfn.TEXTSPLIT(_xlpm.inside,",")),_xlpm.mapped,_xlfn.XLOOKUP(_xlpm.nums,$X$2:$X$100,$Y$2:$Y$100),SUBSTITUTE(_xlpm.txt,"["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"]")),I10)</f>
        <v>Al (bauxite) [46]</v>
      </c>
      <c r="AI10" t="str" cm="1">
        <f t="array" ref="AI10">IFERROR(_xlfn.LET(_xlpm.txt,J10,_xlpm.inside,MID(_xlpm.txt,FIND("[",_xlpm.txt)+1,FIND("]",_xlpm.txt)-FIND("[",_xlpm.txt)-1),_xlpm.nums,VALUE(_xlfn.TEXTSPLIT(_xlpm.inside,",")),_xlpm.mapped,_xlfn.XLOOKUP(_xlpm.nums,$X$2:$X$100,$Y$2:$Y$100),SUBSTITUTE(_xlpm.txt,"["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"]")),J10)</f>
        <v>Mg metal [46]</v>
      </c>
      <c r="AJ10" t="str" cm="1">
        <f t="array" ref="AJ10">IFERROR(_xlfn.LET(_xlpm.txt,K10,_xlpm.inside,MID(_xlpm.txt,FIND("[",_xlpm.txt)+1,FIND("]",_xlpm.txt)-FIND("[",_xlpm.txt)-1),_xlpm.nums,VALUE(_xlfn.TEXTSPLIT(_xlpm.inside,",")),_xlpm.mapped,_xlfn.XLOOKUP(_xlpm.nums,$X$2:$X$100,$Y$2:$Y$100),SUBSTITUTE(_xlpm.txt,"["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"]")),K10)</f>
        <v>CaO (30–65%)
Al2O3 (5–37%)
SiO2 (0.7–35%)
FeO (&lt;10%)
MgO (1–10%) [46]</v>
      </c>
      <c r="AK10" t="str" cm="1">
        <f t="array" ref="AK10">IFERROR(_xlfn.LET(_xlpm.txt,L10,_xlpm.inside,MID(_xlpm.txt,FIND("[",_xlpm.txt)+1,FIND("]",_xlpm.txt)-FIND("[",_xlpm.txt)-1),_xlpm.nums,VALUE(_xlfn.TEXTSPLIT(_xlpm.inside,",")),_xlpm.mapped,_xlfn.XLOOKUP(_xlpm.nums,$X$2:$X$100,$Y$2:$Y$100),SUBSTITUTE(_xlpm.txt,"["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"]")),L10)</f>
        <v>Larnite (Ca2​SiO4​)
Mayenite (Ca12Al14O33)
Periclase (MgO)
Portlandite (Ca(OH)2​) [9]</v>
      </c>
      <c r="AL10" t="str" cm="1">
        <f t="array" ref="AL10">IFERROR(_xlfn.LET(_xlpm.txt,M10,_xlpm.inside,MID(_xlpm.txt,FIND("[",_xlpm.txt)+1,FIND("]",_xlpm.txt)-FIND("[",_xlpm.txt)-1),_xlpm.nums,VALUE(_xlfn.TEXTSPLIT(_xlpm.inside,",")),_xlpm.mapped,_xlfn.XLOOKUP(_xlpm.nums,$X$2:$X$100,$Y$2:$Y$100),SUBSTITUTE(_xlpm.txt,"["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"]")),M10)</f>
        <v>Ca, Si, Mg, Al, Fe, Mn, Ti, V, Nb, S [6]</v>
      </c>
      <c r="AM10" t="str" cm="1">
        <f t="array" ref="AM10">IFERROR(_xlfn.LET(_xlpm.txt,N10,_xlpm.inside,MID(_xlpm.txt,FIND("[",_xlpm.txt)+1,FIND("]",_xlpm.txt)-FIND("[",_xlpm.txt)-1),_xlpm.nums,VALUE(_xlfn.TEXTSPLIT(_xlpm.inside,",")),_xlpm.mapped,_xlfn.XLOOKUP(_xlpm.nums,$X$2:$X$100,$Y$2:$Y$100),SUBSTITUTE(_xlpm.txt,"["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"]")),N10)</f>
        <v>Solid state: typically fine powder or fine granular due to dusting phase [46]</v>
      </c>
      <c r="AN10" t="str" cm="1">
        <f t="array" ref="AN10">IFERROR(_xlfn.LET(_xlpm.txt,O10,_xlpm.inside,MID(_xlpm.txt,FIND("[",_xlpm.txt)+1,FIND("]",_xlpm.txt)-FIND("[",_xlpm.txt)-1),_xlpm.nums,VALUE(_xlfn.TEXTSPLIT(_xlpm.inside,",")),_xlpm.mapped,_xlfn.XLOOKUP(_xlpm.nums,$X$2:$X$100,$Y$2:$Y$100),SUBSTITUTE(_xlpm.txt,"["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"]")),O10)</f>
        <v>10–80 kg/t Liquid Steel (LS) (avg. 45 kg/t) [6]</v>
      </c>
      <c r="AO10" t="str" cm="1">
        <f t="array" ref="AO10">IFERROR(_xlfn.LET(_xlpm.txt,P10,_xlpm.inside,MID(_xlpm.txt,FIND("[",_xlpm.txt)+1,FIND("]",_xlpm.txt)-FIND("[",_xlpm.txt)-1),_xlpm.nums,VALUE(_xlfn.TEXTSPLIT(_xlpm.inside,",")),_xlpm.mapped,_xlfn.XLOOKUP(_xlpm.nums,$X$2:$X$100,$Y$2:$Y$100),SUBSTITUTE(_xlpm.txt,"["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"]")),P10)</f>
        <v>11.0–13.0: highly alkaline nature with an average of 12.5 approximately [9]</v>
      </c>
      <c r="AP10" t="str" cm="1">
        <f t="array" ref="AP10">IFERROR(_xlfn.LET(_xlpm.txt,Q10,_xlpm.inside,MID(_xlpm.txt,FIND("[",_xlpm.txt)+1,FIND("]",_xlpm.txt)-FIND("[",_xlpm.txt)-1),_xlpm.nums,VALUE(_xlfn.TEXTSPLIT(_xlpm.inside,",")),_xlpm.mapped,_xlfn.XLOOKUP(_xlpm.nums,$X$2:$X$100,$Y$2:$Y$100),SUBSTITUTE(_xlpm.txt,"["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"]")),Q10)</f>
        <v>Low: solid powder or granular material exhibiting dust behavior [46]</v>
      </c>
    </row>
    <row r="11" spans="1:42" ht="323" x14ac:dyDescent="0.2">
      <c r="A11" s="3" t="s">
        <v>309</v>
      </c>
      <c r="B11" s="4" t="s">
        <v>1104</v>
      </c>
      <c r="C11" s="4" t="s">
        <v>310</v>
      </c>
      <c r="D11" s="4" t="s">
        <v>1105</v>
      </c>
      <c r="E11" s="4" t="s">
        <v>1106</v>
      </c>
      <c r="F11" s="4" t="s">
        <v>1107</v>
      </c>
      <c r="G11" s="4" t="s">
        <v>1108</v>
      </c>
      <c r="H11" s="4" t="s">
        <v>1109</v>
      </c>
      <c r="I11" s="4" t="s">
        <v>1110</v>
      </c>
      <c r="J11" s="4" t="s">
        <v>237</v>
      </c>
      <c r="K11" s="4" t="s">
        <v>1111</v>
      </c>
      <c r="L11" s="4" t="s">
        <v>1112</v>
      </c>
      <c r="M11" s="4" t="s">
        <v>1113</v>
      </c>
      <c r="N11" s="4" t="s">
        <v>1114</v>
      </c>
      <c r="O11" s="4" t="s">
        <v>1115</v>
      </c>
      <c r="P11" s="4" t="s">
        <v>1116</v>
      </c>
      <c r="Q11" s="4" t="s">
        <v>1117</v>
      </c>
      <c r="X11" s="36">
        <v>11</v>
      </c>
      <c r="Y11" s="63">
        <v>7</v>
      </c>
      <c r="AA11" t="str" cm="1">
        <f t="array" ref="AA11">IFERROR(_xlfn.LET(_xlpm.txt,B11,_xlpm.inside,MID(_xlpm.txt,FIND("[",_xlpm.txt)+1,FIND("]",_xlpm.txt)-FIND("[",_xlpm.txt)-1),_xlpm.nums,VALUE(_xlfn.TEXTSPLIT(_xlpm.inside,",")),_xlpm.mapped,_xlfn.XLOOKUP(_xlpm.nums,$X$2:$X$100,$Y$2:$Y$100),SUBSTITUTE(_xlpm.txt,"["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"]")),B11)</f>
        <v>Titaniferous magnetite, vanadinite [4,5]</v>
      </c>
      <c r="AB11" t="str" cm="1">
        <f t="array" ref="AB11">IFERROR(_xlfn.LET(_xlpm.txt,C11,_xlpm.inside,MID(_xlpm.txt,FIND("[",_xlpm.txt)+1,FIND("]",_xlpm.txt)-FIND("[",_xlpm.txt)-1),_xlpm.nums,VALUE(_xlfn.TEXTSPLIT(_xlpm.inside,",")),_xlpm.mapped,_xlfn.XLOOKUP(_xlpm.nums,$X$2:$X$100,$Y$2:$Y$100),SUBSTITUTE(_xlpm.txt,"["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"]")),C11)</f>
        <v>Slags from vanadium–bearing  steel and iron industry, flue dust</v>
      </c>
      <c r="AC11" t="str" cm="1">
        <f t="array" ref="AC11">IFERROR(_xlfn.LET(_xlpm.txt,D11,_xlpm.inside,MID(_xlpm.txt,FIND("[",_xlpm.txt)+1,FIND("]",_xlpm.txt)-FIND("[",_xlpm.txt)-1),_xlpm.nums,VALUE(_xlfn.TEXTSPLIT(_xlpm.inside,",")),_xlpm.mapped,_xlfn.XLOOKUP(_xlpm.nums,$X$2:$X$100,$Y$2:$Y$100),SUBSTITUTE(_xlpm.txt,"["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"]")),D11)</f>
        <v>Steelmaking and V recovery step [5]</v>
      </c>
      <c r="AD11" t="str" cm="1">
        <f t="array" ref="AD11">IFERROR(_xlfn.LET(_xlpm.txt,E11,_xlpm.inside,MID(_xlpm.txt,FIND("[",_xlpm.txt)+1,FIND("]",_xlpm.txt)-FIND("[",_xlpm.txt)-1),_xlpm.nums,VALUE(_xlfn.TEXTSPLIT(_xlpm.inside,",")),_xlpm.mapped,_xlfn.XLOOKUP(_xlpm.nums,$X$2:$X$100,$Y$2:$Y$100),SUBSTITUTE(_xlpm.txt,"["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"]")),E11)</f>
        <v>Oxidation roasting (Na2CO3 or CaO) to convert V–bearing phases into soluble vandates for efficient extraction [5]
Selective leaching to dissolve V species and separate recoverable V5+ from the Fe–rich residue [5]
Dust recirculation in BOF or EAF units to recover Fe and reduce waste generation [5]
Magnetic separation to isolate Fe–rich material from V–enriched oxides before or after roasting [5]
Secondary smelting to concentrate V in the slag phase while producing recyclable metallic Fe [5]
Stabilisation of fine V bearing particulates during off–gas dust cleaning to ensure safe handling [5]</v>
      </c>
      <c r="AE11" t="str" cm="1">
        <f t="array" ref="AE11">IFERROR(_xlfn.LET(_xlpm.txt,F11,_xlpm.inside,MID(_xlpm.txt,FIND("[",_xlpm.txt)+1,FIND("]",_xlpm.txt)-FIND("[",_xlpm.txt)-1),_xlpm.nums,VALUE(_xlfn.TEXTSPLIT(_xlpm.inside,",")),_xlpm.mapped,_xlfn.XLOOKUP(_xlpm.nums,$X$2:$X$100,$Y$2:$Y$100),SUBSTITUTE(_xlpm.txt,"["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"]")),F11)</f>
        <v>Variable V content, dust handling issues [5]</v>
      </c>
      <c r="AF11" t="str" cm="1">
        <f t="array" ref="AF11">IFERROR(_xlfn.LET(_xlpm.txt,G11,_xlpm.inside,MID(_xlpm.txt,FIND("[",_xlpm.txt)+1,FIND("]",_xlpm.txt)-FIND("[",_xlpm.txt)-1),_xlpm.nums,VALUE(_xlfn.TEXTSPLIT(_xlpm.inside,",")),_xlpm.mapped,_xlfn.XLOOKUP(_xlpm.nums,$X$2:$X$100,$Y$2:$Y$100),SUBSTITUTE(_xlpm.txt,"["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"]")),G11)</f>
        <v>V recovery which is a high economic value, especially for battery applications [5]</v>
      </c>
      <c r="AG11" t="str" cm="1">
        <f t="array" ref="AG11">IFERROR(_xlfn.LET(_xlpm.txt,H11,_xlpm.inside,MID(_xlpm.txt,FIND("[",_xlpm.txt)+1,FIND("]",_xlpm.txt)-FIND("[",_xlpm.txt)-1),_xlpm.nums,VALUE(_xlfn.TEXTSPLIT(_xlpm.inside,",")),_xlpm.mapped,_xlfn.XLOOKUP(_xlpm.nums,$X$2:$X$100,$Y$2:$Y$100),SUBSTITUTE(_xlpm.txt,"["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"]")),H11)</f>
        <v>V compounds (V2O5, APV), Fe production [5]</v>
      </c>
      <c r="AH11" t="str" cm="1">
        <f t="array" ref="AH11">IFERROR(_xlfn.LET(_xlpm.txt,I11,_xlpm.inside,MID(_xlpm.txt,FIND("[",_xlpm.txt)+1,FIND("]",_xlpm.txt)-FIND("[",_xlpm.txt)-1),_xlpm.nums,VALUE(_xlfn.TEXTSPLIT(_xlpm.inside,",")),_xlpm.mapped,_xlfn.XLOOKUP(_xlpm.nums,$X$2:$X$100,$Y$2:$Y$100),SUBSTITUTE(_xlpm.txt,"["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"]")),I11)</f>
        <v>V [5]</v>
      </c>
      <c r="AI11" t="str" cm="1">
        <f t="array" ref="AI11">IFERROR(_xlfn.LET(_xlpm.txt,J11,_xlpm.inside,MID(_xlpm.txt,FIND("[",_xlpm.txt)+1,FIND("]",_xlpm.txt)-FIND("[",_xlpm.txt)-1),_xlpm.nums,VALUE(_xlfn.TEXTSPLIT(_xlpm.inside,",")),_xlpm.mapped,_xlfn.XLOOKUP(_xlpm.nums,$X$2:$X$100,$Y$2:$Y$100),SUBSTITUTE(_xlpm.txt,"["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"]")),J11)</f>
        <v>Not applicable</v>
      </c>
      <c r="AJ11" t="str" cm="1">
        <f t="array" ref="AJ11">IFERROR(_xlfn.LET(_xlpm.txt,K11,_xlpm.inside,MID(_xlpm.txt,FIND("[",_xlpm.txt)+1,FIND("]",_xlpm.txt)-FIND("[",_xlpm.txt)-1),_xlpm.nums,VALUE(_xlfn.TEXTSPLIT(_xlpm.inside,",")),_xlpm.mapped,_xlfn.XLOOKUP(_xlpm.nums,$X$2:$X$100,$Y$2:$Y$100),SUBSTITUTE(_xlpm.txt,"["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"]")),K11)</f>
        <v>V (1450–1500 mg/kg) in EAF slag [5]</v>
      </c>
      <c r="AK11" t="str" cm="1">
        <f t="array" ref="AK11">IFERROR(_xlfn.LET(_xlpm.txt,L11,_xlpm.inside,MID(_xlpm.txt,FIND("[",_xlpm.txt)+1,FIND("]",_xlpm.txt)-FIND("[",_xlpm.txt)-1),_xlpm.nums,VALUE(_xlfn.TEXTSPLIT(_xlpm.inside,",")),_xlpm.mapped,_xlfn.XLOOKUP(_xlpm.nums,$X$2:$X$100,$Y$2:$Y$100),SUBSTITUTE(_xlpm.txt,"["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"]")),L11)</f>
        <v>Vanadium spinel (FeV2​O4​)
Fayalite (Fe2​SiO4​)
Titanomagnetite [5]</v>
      </c>
      <c r="AL11" t="str" cm="1">
        <f t="array" ref="AL11">IFERROR(_xlfn.LET(_xlpm.txt,M11,_xlpm.inside,MID(_xlpm.txt,FIND("[",_xlpm.txt)+1,FIND("]",_xlpm.txt)-FIND("[",_xlpm.txt)-1),_xlpm.nums,VALUE(_xlfn.TEXTSPLIT(_xlpm.inside,",")),_xlpm.mapped,_xlfn.XLOOKUP(_xlpm.nums,$X$2:$X$100,$Y$2:$Y$100),SUBSTITUTE(_xlpm.txt,"["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"]")),M11)</f>
        <v>V, Fe, Ti, Mn, Cr, Al, Si, Mg [5]</v>
      </c>
      <c r="AM11" t="str" cm="1">
        <f t="array" ref="AM11">IFERROR(_xlfn.LET(_xlpm.txt,N11,_xlpm.inside,MID(_xlpm.txt,FIND("[",_xlpm.txt)+1,FIND("]",_xlpm.txt)-FIND("[",_xlpm.txt)-1),_xlpm.nums,VALUE(_xlfn.TEXTSPLIT(_xlpm.inside,",")),_xlpm.mapped,_xlfn.XLOOKUP(_xlpm.nums,$X$2:$X$100,$Y$2:$Y$100),SUBSTITUTE(_xlpm.txt,"["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"]")),N11)</f>
        <v>Solid state: granular slag or fine flue dust powder [5]</v>
      </c>
      <c r="AN11" t="str" cm="1">
        <f t="array" ref="AN11">IFERROR(_xlfn.LET(_xlpm.txt,O11,_xlpm.inside,MID(_xlpm.txt,FIND("[",_xlpm.txt)+1,FIND("]",_xlpm.txt)-FIND("[",_xlpm.txt)-1),_xlpm.nums,VALUE(_xlfn.TEXTSPLIT(_xlpm.inside,",")),_xlpm.mapped,_xlfn.XLOOKUP(_xlpm.nums,$X$2:$X$100,$Y$2:$Y$100),SUBSTITUTE(_xlpm.txt,"["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"]")),O11)</f>
        <v>~52 Mt total steelmaking byproduct according to 2019 EU production [6]</v>
      </c>
      <c r="AO11" t="str" cm="1">
        <f t="array" ref="AO11">IFERROR(_xlfn.LET(_xlpm.txt,P11,_xlpm.inside,MID(_xlpm.txt,FIND("[",_xlpm.txt)+1,FIND("]",_xlpm.txt)-FIND("[",_xlpm.txt)-1),_xlpm.nums,VALUE(_xlfn.TEXTSPLIT(_xlpm.inside,",")),_xlpm.mapped,_xlfn.XLOOKUP(_xlpm.nums,$X$2:$X$100,$Y$2:$Y$100),SUBSTITUTE(_xlpm.txt,"["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"]")),P11)</f>
        <v>11.0–13.0: slag matrix or acidic recovery context [5]</v>
      </c>
      <c r="AP11" t="str" cm="1">
        <f t="array" ref="AP11">IFERROR(_xlfn.LET(_xlpm.txt,Q11,_xlpm.inside,MID(_xlpm.txt,FIND("[",_xlpm.txt)+1,FIND("]",_xlpm.txt)-FIND("[",_xlpm.txt)-1),_xlpm.nums,VALUE(_xlfn.TEXTSPLIT(_xlpm.inside,",")),_xlpm.mapped,_xlfn.XLOOKUP(_xlpm.nums,$X$2:$X$100,$Y$2:$Y$100),SUBSTITUTE(_xlpm.txt,"["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"]")),Q11)</f>
        <v>Low: managed as solid slag or fine flue dust [5]</v>
      </c>
    </row>
    <row r="12" spans="1:42" ht="187" x14ac:dyDescent="0.2">
      <c r="A12" s="59" t="s">
        <v>5</v>
      </c>
      <c r="B12" s="7" t="s">
        <v>1118</v>
      </c>
      <c r="C12" s="7" t="s">
        <v>6</v>
      </c>
      <c r="D12" s="7" t="s">
        <v>1119</v>
      </c>
      <c r="E12" s="7" t="s">
        <v>1120</v>
      </c>
      <c r="F12" s="7" t="s">
        <v>1121</v>
      </c>
      <c r="G12" s="7" t="s">
        <v>1122</v>
      </c>
      <c r="H12" s="7" t="s">
        <v>1123</v>
      </c>
      <c r="I12" s="7" t="s">
        <v>1124</v>
      </c>
      <c r="J12" s="7" t="s">
        <v>1125</v>
      </c>
      <c r="K12" s="7" t="s">
        <v>1126</v>
      </c>
      <c r="L12" s="7" t="s">
        <v>1127</v>
      </c>
      <c r="M12" s="8" t="s">
        <v>1128</v>
      </c>
      <c r="N12" s="8" t="s">
        <v>1129</v>
      </c>
      <c r="O12" s="7" t="s">
        <v>1130</v>
      </c>
      <c r="P12" s="7" t="s">
        <v>1131</v>
      </c>
      <c r="Q12" s="7" t="s">
        <v>1132</v>
      </c>
      <c r="X12" s="36">
        <v>12</v>
      </c>
      <c r="Y12" s="64">
        <v>50</v>
      </c>
      <c r="AA12" t="str" cm="1">
        <f t="array" ref="AA12">IFERROR(_xlfn.LET(_xlpm.txt,B12,_xlpm.inside,MID(_xlpm.txt,FIND("[",_xlpm.txt)+1,FIND("]",_xlpm.txt)-FIND("[",_xlpm.txt)-1),_xlpm.nums,VALUE(_xlfn.TEXTSPLIT(_xlpm.inside,",")),_xlpm.mapped,_xlfn.XLOOKUP(_xlpm.nums,$X$2:$X$100,$Y$2:$Y$100),SUBSTITUTE(_xlpm.txt,"["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"]")),B12)</f>
        <v>Chalcopyrite (CuFeS2), bornite (Cu5FeS4) [30,54]</v>
      </c>
      <c r="AB12" t="str" cm="1">
        <f t="array" ref="AB12">IFERROR(_xlfn.LET(_xlpm.txt,C12,_xlpm.inside,MID(_xlpm.txt,FIND("[",_xlpm.txt)+1,FIND("]",_xlpm.txt)-FIND("[",_xlpm.txt)-1),_xlpm.nums,VALUE(_xlfn.TEXTSPLIT(_xlpm.inside,",")),_xlpm.mapped,_xlfn.XLOOKUP(_xlpm.nums,$X$2:$X$100,$Y$2:$Y$100),SUBSTITUTE(_xlpm.txt,"["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"]")),C12)</f>
        <v>Copper smelter slag</v>
      </c>
      <c r="AC12" t="str" cm="1">
        <f t="array" ref="AC12">IFERROR(_xlfn.LET(_xlpm.txt,D12,_xlpm.inside,MID(_xlpm.txt,FIND("[",_xlpm.txt)+1,FIND("]",_xlpm.txt)-FIND("[",_xlpm.txt)-1),_xlpm.nums,VALUE(_xlfn.TEXTSPLIT(_xlpm.inside,",")),_xlpm.mapped,_xlfn.XLOOKUP(_xlpm.nums,$X$2:$X$100,$Y$2:$Y$100),SUBSTITUTE(_xlpm.txt,"["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"]")),D12)</f>
        <v>Copper pyrometallurgy – Matte smelting or converting [17,30,32]</v>
      </c>
      <c r="AD12" t="str" cm="1">
        <f t="array" ref="AD12">IFERROR(_xlfn.LET(_xlpm.txt,E12,_xlpm.inside,MID(_xlpm.txt,FIND("[",_xlpm.txt)+1,FIND("]",_xlpm.txt)-FIND("[",_xlpm.txt)-1),_xlpm.nums,VALUE(_xlfn.TEXTSPLIT(_xlpm.inside,",")),_xlpm.mapped,_xlfn.XLOOKUP(_xlpm.nums,$X$2:$X$100,$Y$2:$Y$100),SUBSTITUTE(_xlpm.txt,"["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"]")),E12)</f>
        <v>Flotation of entrapped matte phase to recover Cu– and Fe–rich mineral fractions [17]
Reduction smelter slag to separate metallic Fe and Cu droplets from Si matrix [31]
High temperature fuming to volatilise Zn and Pb for off–gas recovery [17]
Mechanical activation like fine grinding to enhance latent hydraulic reactivity for binder use [54]</v>
      </c>
      <c r="AE12" t="str" cm="1">
        <f t="array" ref="AE12">IFERROR(_xlfn.LET(_xlpm.txt,F12,_xlpm.inside,MID(_xlpm.txt,FIND("[",_xlpm.txt)+1,FIND("]",_xlpm.txt)-FIND("[",_xlpm.txt)-1),_xlpm.nums,VALUE(_xlfn.TEXTSPLIT(_xlpm.inside,",")),_xlpm.mapped,_xlfn.XLOOKUP(_xlpm.nums,$X$2:$X$100,$Y$2:$Y$100),SUBSTITUTE(_xlpm.txt,"["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"]")),F12)</f>
        <v>Hindrance in grinding due to glassy nature, environmental classification [17]</v>
      </c>
      <c r="AF12" t="str" cm="1">
        <f t="array" ref="AF12">IFERROR(_xlfn.LET(_xlpm.txt,G12,_xlpm.inside,MID(_xlpm.txt,FIND("[",_xlpm.txt)+1,FIND("]",_xlpm.txt)-FIND("[",_xlpm.txt)-1),_xlpm.nums,VALUE(_xlfn.TEXTSPLIT(_xlpm.inside,",")),_xlpm.mapped,_xlfn.XLOOKUP(_xlpm.nums,$X$2:$X$100,$Y$2:$Y$100),SUBSTITUTE(_xlpm.txt,"["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"]")),G12)</f>
        <v>86% environmental impact reduction in comparison to primary mining [30]</v>
      </c>
      <c r="AG12" t="str" cm="1">
        <f t="array" ref="AG12">IFERROR(_xlfn.LET(_xlpm.txt,H12,_xlpm.inside,MID(_xlpm.txt,FIND("[",_xlpm.txt)+1,FIND("]",_xlpm.txt)-FIND("[",_xlpm.txt)-1),_xlpm.nums,VALUE(_xlfn.TEXTSPLIT(_xlpm.inside,",")),_xlpm.mapped,_xlfn.XLOOKUP(_xlpm.nums,$X$2:$X$100,$Y$2:$Y$100),SUBSTITUTE(_xlpm.txt,"["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"]")),H12)</f>
        <v>SCM, inorganic polymer binders, aggregates, blasting media, metal recovery of Cu, Fe, Au, Ag, PGMs [17,32]</v>
      </c>
      <c r="AH12" t="str" cm="1">
        <f t="array" ref="AH12">IFERROR(_xlfn.LET(_xlpm.txt,I12,_xlpm.inside,MID(_xlpm.txt,FIND("[",_xlpm.txt)+1,FIND("]",_xlpm.txt)-FIND("[",_xlpm.txt)-1),_xlpm.nums,VALUE(_xlfn.TEXTSPLIT(_xlpm.inside,",")),_xlpm.mapped,_xlfn.XLOOKUP(_xlpm.nums,$X$2:$X$100,$Y$2:$Y$100),SUBSTITUTE(_xlpm.txt,"["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"]")),I12)</f>
        <v>P, traces of REEs – LREEs and HREEs [54]</v>
      </c>
      <c r="AI12" t="str" cm="1">
        <f t="array" ref="AI12">IFERROR(_xlfn.LET(_xlpm.txt,J12,_xlpm.inside,MID(_xlpm.txt,FIND("[",_xlpm.txt)+1,FIND("]",_xlpm.txt)-FIND("[",_xlpm.txt)-1),_xlpm.nums,VALUE(_xlfn.TEXTSPLIT(_xlpm.inside,",")),_xlpm.mapped,_xlfn.XLOOKUP(_xlpm.nums,$X$2:$X$100,$Y$2:$Y$100),SUBSTITUTE(_xlpm.txt,"["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"]")),J12)</f>
        <v>Ni (battery grade), Co, Cu [54]</v>
      </c>
      <c r="AJ12" t="str" cm="1">
        <f t="array" ref="AJ12">IFERROR(_xlfn.LET(_xlpm.txt,K12,_xlpm.inside,MID(_xlpm.txt,FIND("[",_xlpm.txt)+1,FIND("]",_xlpm.txt)-FIND("[",_xlpm.txt)-1),_xlpm.nums,VALUE(_xlfn.TEXTSPLIT(_xlpm.inside,",")),_xlpm.mapped,_xlfn.XLOOKUP(_xlpm.nums,$X$2:$X$100,$Y$2:$Y$100),SUBSTITUTE(_xlpm.txt,"["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"]")),K12)</f>
        <v>FeO (48%)
SiO2 (24.20%)
ZnO (4.73%)
CaO (2.54%)
Al2O3 (7.61%) [17]</v>
      </c>
      <c r="AK12" t="str" cm="1">
        <f t="array" ref="AK12">IFERROR(_xlfn.LET(_xlpm.txt,L12,_xlpm.inside,MID(_xlpm.txt,FIND("[",_xlpm.txt)+1,FIND("]",_xlpm.txt)-FIND("[",_xlpm.txt)-1),_xlpm.nums,VALUE(_xlfn.TEXTSPLIT(_xlpm.inside,",")),_xlpm.mapped,_xlfn.XLOOKUP(_xlpm.nums,$X$2:$X$100,$Y$2:$Y$100),SUBSTITUTE(_xlpm.txt,"["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"]")),L12)</f>
        <v>Fayalite (Fe2​SiO4​)
Magnetite (Fe3​O4​)
Zinc–rich glass [32]</v>
      </c>
      <c r="AL12" t="str" cm="1">
        <f t="array" ref="AL12">IFERROR(_xlfn.LET(_xlpm.txt,M12,_xlpm.inside,MID(_xlpm.txt,FIND("[",_xlpm.txt)+1,FIND("]",_xlpm.txt)-FIND("[",_xlpm.txt)-1),_xlpm.nums,VALUE(_xlfn.TEXTSPLIT(_xlpm.inside,",")),_xlpm.mapped,_xlfn.XLOOKUP(_xlpm.nums,$X$2:$X$100,$Y$2:$Y$100),SUBSTITUTE(_xlpm.txt,"["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"]")),M12)</f>
        <v>Fe, Si, Al, Zn, Ca, Cr, Cu, Pb [17]</v>
      </c>
      <c r="AM12" t="str" cm="1">
        <f t="array" ref="AM12">IFERROR(_xlfn.LET(_xlpm.txt,N12,_xlpm.inside,MID(_xlpm.txt,FIND("[",_xlpm.txt)+1,FIND("]",_xlpm.txt)-FIND("[",_xlpm.txt)-1),_xlpm.nums,VALUE(_xlfn.TEXTSPLIT(_xlpm.inside,",")),_xlpm.mapped,_xlfn.XLOOKUP(_xlpm.nums,$X$2:$X$100,$Y$2:$Y$100),SUBSTITUTE(_xlpm.txt,"["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"]")),N12)</f>
        <v>Solid state: granular, stony or vitrified or glassy [17]</v>
      </c>
      <c r="AN12" t="str" cm="1">
        <f t="array" ref="AN12">IFERROR(_xlfn.LET(_xlpm.txt,O12,_xlpm.inside,MID(_xlpm.txt,FIND("[",_xlpm.txt)+1,FIND("]",_xlpm.txt)-FIND("[",_xlpm.txt)-1),_xlpm.nums,VALUE(_xlfn.TEXTSPLIT(_xlpm.inside,",")),_xlpm.mapped,_xlfn.XLOOKUP(_xlpm.nums,$X$2:$X$100,$Y$2:$Y$100),SUBSTITUTE(_xlpm.txt,"["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"]")),O12)</f>
        <v>Included in general &gt;8.5 Mt annual production [40]</v>
      </c>
      <c r="AO12" t="str" cm="1">
        <f t="array" ref="AO12">IFERROR(_xlfn.LET(_xlpm.txt,P12,_xlpm.inside,MID(_xlpm.txt,FIND("[",_xlpm.txt)+1,FIND("]",_xlpm.txt)-FIND("[",_xlpm.txt)-1),_xlpm.nums,VALUE(_xlfn.TEXTSPLIT(_xlpm.inside,",")),_xlpm.mapped,_xlfn.XLOOKUP(_xlpm.nums,$X$2:$X$100,$Y$2:$Y$100),SUBSTITUTE(_xlpm.txt,"["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"]")),P12)</f>
        <v>Alkaline: stable fayalitic glass matrix [32]</v>
      </c>
      <c r="AP12" t="str" cm="1">
        <f t="array" ref="AP12">IFERROR(_xlfn.LET(_xlpm.txt,Q12,_xlpm.inside,MID(_xlpm.txt,FIND("[",_xlpm.txt)+1,FIND("]",_xlpm.txt)-FIND("[",_xlpm.txt)-1),_xlpm.nums,VALUE(_xlfn.TEXTSPLIT(_xlpm.inside,",")),_xlpm.mapped,_xlfn.XLOOKUP(_xlpm.nums,$X$2:$X$100,$Y$2:$Y$100),SUBSTITUTE(_xlpm.txt,"["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"]")),Q12)</f>
        <v>Low: vitrified or glassy solid [17]</v>
      </c>
    </row>
    <row r="13" spans="1:42" ht="170" x14ac:dyDescent="0.2">
      <c r="A13" s="59" t="s">
        <v>5</v>
      </c>
      <c r="B13" s="7" t="s">
        <v>1118</v>
      </c>
      <c r="C13" s="7" t="s">
        <v>236</v>
      </c>
      <c r="D13" s="7" t="s">
        <v>1133</v>
      </c>
      <c r="E13" s="7" t="s">
        <v>1134</v>
      </c>
      <c r="F13" s="7" t="s">
        <v>1135</v>
      </c>
      <c r="G13" s="7" t="s">
        <v>1136</v>
      </c>
      <c r="H13" s="7" t="s">
        <v>1137</v>
      </c>
      <c r="I13" s="7" t="s">
        <v>1138</v>
      </c>
      <c r="J13" s="7" t="s">
        <v>1139</v>
      </c>
      <c r="K13" s="7" t="s">
        <v>1140</v>
      </c>
      <c r="L13" s="7" t="s">
        <v>1141</v>
      </c>
      <c r="M13" s="7" t="s">
        <v>1142</v>
      </c>
      <c r="N13" s="7" t="s">
        <v>1143</v>
      </c>
      <c r="O13" s="7" t="s">
        <v>1144</v>
      </c>
      <c r="P13" s="7" t="s">
        <v>1145</v>
      </c>
      <c r="Q13" s="7" t="s">
        <v>1146</v>
      </c>
      <c r="X13" s="36">
        <v>13</v>
      </c>
      <c r="Y13" s="63">
        <v>2</v>
      </c>
      <c r="AA13" t="str" cm="1">
        <f t="array" ref="AA13">IFERROR(_xlfn.LET(_xlpm.txt,B13,_xlpm.inside,MID(_xlpm.txt,FIND("[",_xlpm.txt)+1,FIND("]",_xlpm.txt)-FIND("[",_xlpm.txt)-1),_xlpm.nums,VALUE(_xlfn.TEXTSPLIT(_xlpm.inside,",")),_xlpm.mapped,_xlfn.XLOOKUP(_xlpm.nums,$X$2:$X$100,$Y$2:$Y$100),SUBSTITUTE(_xlpm.txt,"["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"]")),B13)</f>
        <v>Chalcopyrite (CuFeS2), bornite (Cu5FeS4) [30,54]</v>
      </c>
      <c r="AB13" t="str" cm="1">
        <f t="array" ref="AB13">IFERROR(_xlfn.LET(_xlpm.txt,C13,_xlpm.inside,MID(_xlpm.txt,FIND("[",_xlpm.txt)+1,FIND("]",_xlpm.txt)-FIND("[",_xlpm.txt)-1),_xlpm.nums,VALUE(_xlfn.TEXTSPLIT(_xlpm.inside,",")),_xlpm.mapped,_xlfn.XLOOKUP(_xlpm.nums,$X$2:$X$100,$Y$2:$Y$100),SUBSTITUTE(_xlpm.txt,"["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"]")),C13)</f>
        <v>Flue dust or ESP dust</v>
      </c>
      <c r="AC13" t="str" cm="1">
        <f t="array" ref="AC13">IFERROR(_xlfn.LET(_xlpm.txt,D13,_xlpm.inside,MID(_xlpm.txt,FIND("[",_xlpm.txt)+1,FIND("]",_xlpm.txt)-FIND("[",_xlpm.txt)-1),_xlpm.nums,VALUE(_xlfn.TEXTSPLIT(_xlpm.inside,",")),_xlpm.mapped,_xlfn.XLOOKUP(_xlpm.nums,$X$2:$X$100,$Y$2:$Y$100),SUBSTITUTE(_xlpm.txt,"["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"]")),D13)</f>
        <v>Off–gas cleaning – Roasters or smelters or converters [30,35]</v>
      </c>
      <c r="AD13" t="str" cm="1">
        <f t="array" ref="AD13">IFERROR(_xlfn.LET(_xlpm.txt,E13,_xlpm.inside,MID(_xlpm.txt,FIND("[",_xlpm.txt)+1,FIND("]",_xlpm.txt)-FIND("[",_xlpm.txt)-1),_xlpm.nums,VALUE(_xlfn.TEXTSPLIT(_xlpm.inside,",")),_xlpm.mapped,_xlfn.XLOOKUP(_xlpm.nums,$X$2:$X$100,$Y$2:$Y$100),SUBSTITUTE(_xlpm.txt,"["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"]")),E13)</f>
        <v>Hydrometallurgical leaching like acid or alkali, to dissolve Zn and Pb or As or Sb selectivity from oxide mixture [30,36]
Volatilisation in fuming furnaces to separate volatile metals from residue [21]
Stabilisation or Solidification to immobilise hazardous elements for safe handling [21]</v>
      </c>
      <c r="AE13" t="str" cm="1">
        <f t="array" ref="AE13">IFERROR(_xlfn.LET(_xlpm.txt,F13,_xlpm.inside,MID(_xlpm.txt,FIND("[",_xlpm.txt)+1,FIND("]",_xlpm.txt)-FIND("[",_xlpm.txt)-1),_xlpm.nums,VALUE(_xlfn.TEXTSPLIT(_xlpm.inside,",")),_xlpm.mapped,_xlfn.XLOOKUP(_xlpm.nums,$X$2:$X$100,$Y$2:$Y$100),SUBSTITUTE(_xlpm.txt,"["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"]")),F13)</f>
        <v>High volatility of As or Pb or Cd, hazardous [54]</v>
      </c>
      <c r="AF13" t="str" cm="1">
        <f t="array" ref="AF13">IFERROR(_xlfn.LET(_xlpm.txt,G13,_xlpm.inside,MID(_xlpm.txt,FIND("[",_xlpm.txt)+1,FIND("]",_xlpm.txt)-FIND("[",_xlpm.txt)-1),_xlpm.nums,VALUE(_xlfn.TEXTSPLIT(_xlpm.inside,",")),_xlpm.mapped,_xlfn.XLOOKUP(_xlpm.nums,$X$2:$X$100,$Y$2:$Y$100),SUBSTITUTE(_xlpm.txt,"["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"]")),G13)</f>
        <v>Recovery of valuable volatile metals (As or Sb or Bi or Zn) [30]</v>
      </c>
      <c r="AG13" t="str" cm="1">
        <f t="array" ref="AG13">IFERROR(_xlfn.LET(_xlpm.txt,H13,_xlpm.inside,MID(_xlpm.txt,FIND("[",_xlpm.txt)+1,FIND("]",_xlpm.txt)-FIND("[",_xlpm.txt)-1),_xlpm.nums,VALUE(_xlfn.TEXTSPLIT(_xlpm.inside,",")),_xlpm.mapped,_xlfn.XLOOKUP(_xlpm.nums,$X$2:$X$100,$Y$2:$Y$100),SUBSTITUTE(_xlpm.txt,"["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"]")),H13)</f>
        <v>ZnO, Cu electrowinning, sponge Cd, concentrates of Zn and Pb or As or Sb [54]</v>
      </c>
      <c r="AH13" t="str" cm="1">
        <f t="array" ref="AH13">IFERROR(_xlfn.LET(_xlpm.txt,I13,_xlpm.inside,MID(_xlpm.txt,FIND("[",_xlpm.txt)+1,FIND("]",_xlpm.txt)-FIND("[",_xlpm.txt)-1),_xlpm.nums,VALUE(_xlfn.TEXTSPLIT(_xlpm.inside,",")),_xlpm.mapped,_xlfn.XLOOKUP(_xlpm.nums,$X$2:$X$100,$Y$2:$Y$100),SUBSTITUTE(_xlpm.txt,"["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"]")),I13)</f>
        <v xml:space="preserve">V [35] </v>
      </c>
      <c r="AI13" t="str" cm="1">
        <f t="array" ref="AI13">IFERROR(_xlfn.LET(_xlpm.txt,J13,_xlpm.inside,MID(_xlpm.txt,FIND("[",_xlpm.txt)+1,FIND("]",_xlpm.txt)-FIND("[",_xlpm.txt)-1),_xlpm.nums,VALUE(_xlfn.TEXTSPLIT(_xlpm.inside,",")),_xlpm.mapped,_xlfn.XLOOKUP(_xlpm.nums,$X$2:$X$100,$Y$2:$Y$100),SUBSTITUTE(_xlpm.txt,"["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"]")),J13)</f>
        <v>Traces of PGMs, REEs for magnets [51]</v>
      </c>
      <c r="AJ13" t="str" cm="1">
        <f t="array" ref="AJ13">IFERROR(_xlfn.LET(_xlpm.txt,K13,_xlpm.inside,MID(_xlpm.txt,FIND("[",_xlpm.txt)+1,FIND("]",_xlpm.txt)-FIND("[",_xlpm.txt)-1),_xlpm.nums,VALUE(_xlfn.TEXTSPLIT(_xlpm.inside,",")),_xlpm.mapped,_xlfn.XLOOKUP(_xlpm.nums,$X$2:$X$100,$Y$2:$Y$100),SUBSTITUTE(_xlpm.txt,"["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"]")),K13)</f>
        <v>Primarily rich in Cu, Cd, Zn (volatile components)
V, Sn, Pb, As, Zn (detected strategic metals) [6]</v>
      </c>
      <c r="AK13" t="str" cm="1">
        <f t="array" ref="AK13">IFERROR(_xlfn.LET(_xlpm.txt,L13,_xlpm.inside,MID(_xlpm.txt,FIND("[",_xlpm.txt)+1,FIND("]",_xlpm.txt)-FIND("[",_xlpm.txt)-1),_xlpm.nums,VALUE(_xlfn.TEXTSPLIT(_xlpm.inside,",")),_xlpm.mapped,_xlfn.XLOOKUP(_xlpm.nums,$X$2:$X$100,$Y$2:$Y$100),SUBSTITUTE(_xlpm.txt,"["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"]")),L13)</f>
        <v>Zincite (ZnO)
Anglesite (PbSO4)
Other volatile metallic oxides [51]</v>
      </c>
      <c r="AL13" t="str" cm="1">
        <f t="array" ref="AL13">IFERROR(_xlfn.LET(_xlpm.txt,M13,_xlpm.inside,MID(_xlpm.txt,FIND("[",_xlpm.txt)+1,FIND("]",_xlpm.txt)-FIND("[",_xlpm.txt)-1),_xlpm.nums,VALUE(_xlfn.TEXTSPLIT(_xlpm.inside,",")),_xlpm.mapped,_xlfn.XLOOKUP(_xlpm.nums,$X$2:$X$100,$Y$2:$Y$100),SUBSTITUTE(_xlpm.txt,"["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"]")),M13)</f>
        <v>V, Sn, Pb, As, Zn, Cu, Cd [6]</v>
      </c>
      <c r="AM13" t="str" cm="1">
        <f t="array" ref="AM13">IFERROR(_xlfn.LET(_xlpm.txt,N13,_xlpm.inside,MID(_xlpm.txt,FIND("[",_xlpm.txt)+1,FIND("]",_xlpm.txt)-FIND("[",_xlpm.txt)-1),_xlpm.nums,VALUE(_xlfn.TEXTSPLIT(_xlpm.inside,",")),_xlpm.mapped,_xlfn.XLOOKUP(_xlpm.nums,$X$2:$X$100,$Y$2:$Y$100),SUBSTITUTE(_xlpm.txt,"["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"]")),N13)</f>
        <v>Solid state: ultra–fine powder collected from Electrostatic Precipitators [51]</v>
      </c>
      <c r="AN13" t="str" cm="1">
        <f t="array" ref="AN13">IFERROR(_xlfn.LET(_xlpm.txt,O13,_xlpm.inside,MID(_xlpm.txt,FIND("[",_xlpm.txt)+1,FIND("]",_xlpm.txt)-FIND("[",_xlpm.txt)-1),_xlpm.nums,VALUE(_xlfn.TEXTSPLIT(_xlpm.inside,",")),_xlpm.mapped,_xlfn.XLOOKUP(_xlpm.nums,$X$2:$X$100,$Y$2:$Y$100),SUBSTITUTE(_xlpm.txt,"["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"]")),O13)</f>
        <v>Represents 11.83% of integrated route byproducts [6]</v>
      </c>
      <c r="AO13" t="str" cm="1">
        <f t="array" ref="AO13">IFERROR(_xlfn.LET(_xlpm.txt,P13,_xlpm.inside,MID(_xlpm.txt,FIND("[",_xlpm.txt)+1,FIND("]",_xlpm.txt)-FIND("[",_xlpm.txt)-1),_xlpm.nums,VALUE(_xlfn.TEXTSPLIT(_xlpm.inside,",")),_xlpm.mapped,_xlfn.XLOOKUP(_xlpm.nums,$X$2:$X$100,$Y$2:$Y$100),SUBSTITUTE(_xlpm.txt,"["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"]")),P13)</f>
        <v>Alkaline: high Na and Ca oxide content [29]</v>
      </c>
      <c r="AP13" t="str" cm="1">
        <f t="array" ref="AP13">IFERROR(_xlfn.LET(_xlpm.txt,Q13,_xlpm.inside,MID(_xlpm.txt,FIND("[",_xlpm.txt)+1,FIND("]",_xlpm.txt)-FIND("[",_xlpm.txt)-1),_xlpm.nums,VALUE(_xlfn.TEXTSPLIT(_xlpm.inside,",")),_xlpm.mapped,_xlfn.XLOOKUP(_xlpm.nums,$X$2:$X$100,$Y$2:$Y$100),SUBSTITUTE(_xlpm.txt,"["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"]")),Q13)</f>
        <v>Low: ultra–fine dry powder collected from ESP [51]</v>
      </c>
    </row>
    <row r="14" spans="1:42" ht="187" x14ac:dyDescent="0.2">
      <c r="A14" s="59" t="s">
        <v>5</v>
      </c>
      <c r="B14" s="7" t="s">
        <v>1118</v>
      </c>
      <c r="C14" s="7" t="s">
        <v>7</v>
      </c>
      <c r="D14" s="7" t="s">
        <v>1147</v>
      </c>
      <c r="E14" s="7" t="s">
        <v>1148</v>
      </c>
      <c r="F14" s="7" t="s">
        <v>1149</v>
      </c>
      <c r="G14" s="7" t="s">
        <v>1150</v>
      </c>
      <c r="H14" s="7" t="s">
        <v>1151</v>
      </c>
      <c r="I14" s="7" t="s">
        <v>1152</v>
      </c>
      <c r="J14" s="7" t="s">
        <v>1153</v>
      </c>
      <c r="K14" s="7" t="s">
        <v>1154</v>
      </c>
      <c r="L14" s="7" t="s">
        <v>1155</v>
      </c>
      <c r="M14" s="8" t="s">
        <v>1156</v>
      </c>
      <c r="N14" s="7" t="s">
        <v>1157</v>
      </c>
      <c r="O14" s="7" t="s">
        <v>8</v>
      </c>
      <c r="P14" s="7" t="s">
        <v>1158</v>
      </c>
      <c r="Q14" s="7" t="s">
        <v>1159</v>
      </c>
      <c r="X14" s="36">
        <v>15</v>
      </c>
      <c r="Y14" s="63">
        <v>33</v>
      </c>
      <c r="AA14" t="str" cm="1">
        <f t="array" ref="AA14">IFERROR(_xlfn.LET(_xlpm.txt,B14,_xlpm.inside,MID(_xlpm.txt,FIND("[",_xlpm.txt)+1,FIND("]",_xlpm.txt)-FIND("[",_xlpm.txt)-1),_xlpm.nums,VALUE(_xlfn.TEXTSPLIT(_xlpm.inside,",")),_xlpm.mapped,_xlfn.XLOOKUP(_xlpm.nums,$X$2:$X$100,$Y$2:$Y$100),SUBSTITUTE(_xlpm.txt,"["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"]")),B14)</f>
        <v>Chalcopyrite (CuFeS2), bornite (Cu5FeS4) [30,54]</v>
      </c>
      <c r="AB14" t="str" cm="1">
        <f t="array" ref="AB14">IFERROR(_xlfn.LET(_xlpm.txt,C14,_xlpm.inside,MID(_xlpm.txt,FIND("[",_xlpm.txt)+1,FIND("]",_xlpm.txt)-FIND("[",_xlpm.txt)-1),_xlpm.nums,VALUE(_xlfn.TEXTSPLIT(_xlpm.inside,",")),_xlpm.mapped,_xlfn.XLOOKUP(_xlpm.nums,$X$2:$X$100,$Y$2:$Y$100),SUBSTITUTE(_xlpm.txt,"["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"]")),C14)</f>
        <v>Tailings</v>
      </c>
      <c r="AC14" t="str" cm="1">
        <f t="array" ref="AC14">IFERROR(_xlfn.LET(_xlpm.txt,D14,_xlpm.inside,MID(_xlpm.txt,FIND("[",_xlpm.txt)+1,FIND("]",_xlpm.txt)-FIND("[",_xlpm.txt)-1),_xlpm.nums,VALUE(_xlfn.TEXTSPLIT(_xlpm.inside,",")),_xlpm.mapped,_xlfn.XLOOKUP(_xlpm.nums,$X$2:$X$100,$Y$2:$Y$100),SUBSTITUTE(_xlpm.txt,"["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"]")),D14)</f>
        <v>Beneficiation – floatation or gravity or magnetic separation [12,52,11]</v>
      </c>
      <c r="AD14" t="str" cm="1">
        <f t="array" ref="AD14">IFERROR(_xlfn.LET(_xlpm.txt,E14,_xlpm.inside,MID(_xlpm.txt,FIND("[",_xlpm.txt)+1,FIND("]",_xlpm.txt)-FIND("[",_xlpm.txt)-1),_xlpm.nums,VALUE(_xlfn.TEXTSPLIT(_xlpm.inside,",")),_xlpm.mapped,_xlfn.XLOOKUP(_xlpm.nums,$X$2:$X$100,$Y$2:$Y$100),SUBSTITUTE(_xlpm.txt,"["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"]")),E14)</f>
        <v>Re–flotation to re–capture remaining sulfide minerals and residual metals [52,11]
Alkali activation to convert aluminosilicate phases into geopolymer binders [42]
Thermal roasting to decompose sulfides prior leaching [27]
Bioleaching using microbial oxidation to mobilize Cu, Zn or Co from silicate and sulfide phases [23]</v>
      </c>
      <c r="AE14" t="str" cm="1">
        <f t="array" ref="AE14">IFERROR(_xlfn.LET(_xlpm.txt,F14,_xlpm.inside,MID(_xlpm.txt,FIND("[",_xlpm.txt)+1,FIND("]",_xlpm.txt)-FIND("[",_xlpm.txt)-1),_xlpm.nums,VALUE(_xlfn.TEXTSPLIT(_xlpm.inside,",")),_xlpm.mapped,_xlfn.XLOOKUP(_xlpm.nums,$X$2:$X$100,$Y$2:$Y$100),SUBSTITUTE(_xlpm.txt,"["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"]")),F14)</f>
        <v>Very large volumes generated, mineralogical variability [52,11]</v>
      </c>
      <c r="AF14" t="str" cm="1">
        <f t="array" ref="AF14">IFERROR(_xlfn.LET(_xlpm.txt,G14,_xlpm.inside,MID(_xlpm.txt,FIND("[",_xlpm.txt)+1,FIND("]",_xlpm.txt)-FIND("[",_xlpm.txt)-1),_xlpm.nums,VALUE(_xlfn.TEXTSPLIT(_xlpm.inside,",")),_xlpm.mapped,_xlfn.XLOOKUP(_xlpm.nums,$X$2:$X$100,$Y$2:$Y$100),SUBSTITUTE(_xlpm.txt,"["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"]")),G14)</f>
        <v>Through reprocessing, large secondary resources are generated [12,11]</v>
      </c>
      <c r="AG14" t="str" cm="1">
        <f t="array" ref="AG14">IFERROR(_xlfn.LET(_xlpm.txt,H14,_xlpm.inside,MID(_xlpm.txt,FIND("[",_xlpm.txt)+1,FIND("]",_xlpm.txt)-FIND("[",_xlpm.txt)-1),_xlpm.nums,VALUE(_xlfn.TEXTSPLIT(_xlpm.inside,",")),_xlpm.mapped,_xlfn.XLOOKUP(_xlpm.nums,$X$2:$X$100,$Y$2:$Y$100),SUBSTITUTE(_xlpm.txt,"["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"]")),H14)</f>
        <v>Bricks or tiles, geopolymer blocks, fine aggregates, low–C cement, nano–Cu biosynthesis [4,14,24]</v>
      </c>
      <c r="AH14" t="str" cm="1">
        <f t="array" ref="AH14">IFERROR(_xlfn.LET(_xlpm.txt,I14,_xlpm.inside,MID(_xlpm.txt,FIND("[",_xlpm.txt)+1,FIND("]",_xlpm.txt)-FIND("[",_xlpm.txt)-1),_xlpm.nums,VALUE(_xlfn.TEXTSPLIT(_xlpm.inside,",")),_xlpm.mapped,_xlfn.XLOOKUP(_xlpm.nums,$X$2:$X$100,$Y$2:$Y$100),SUBSTITUTE(_xlpm.txt,"["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"]")),I14)</f>
        <v>V, Sc, Ta, Nb, REEs – LREEs and HREEs (La, Y, Eu, Ho, Er, Tm, Yb, Lu) [54]</v>
      </c>
      <c r="AI14" t="str" cm="1">
        <f t="array" ref="AI14">IFERROR(_xlfn.LET(_xlpm.txt,J14,_xlpm.inside,MID(_xlpm.txt,FIND("[",_xlpm.txt)+1,FIND("]",_xlpm.txt)-FIND("[",_xlpm.txt)-1),_xlpm.nums,VALUE(_xlfn.TEXTSPLIT(_xlpm.inside,",")),_xlpm.mapped,_xlfn.XLOOKUP(_xlpm.nums,$X$2:$X$100,$Y$2:$Y$100),SUBSTITUTE(_xlpm.txt,"["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"]")),J14)</f>
        <v>Ni (battery grade), Co, Cu, REEs for magnets (Nd, Pr, Dy, Tb, Gd, Sm, Ce) [54]</v>
      </c>
      <c r="AJ14" t="str" cm="1">
        <f t="array" ref="AJ14">IFERROR(_xlfn.LET(_xlpm.txt,K14,_xlpm.inside,MID(_xlpm.txt,FIND("[",_xlpm.txt)+1,FIND("]",_xlpm.txt)-FIND("[",_xlpm.txt)-1),_xlpm.nums,VALUE(_xlfn.TEXTSPLIT(_xlpm.inside,",")),_xlpm.mapped,_xlfn.XLOOKUP(_xlpm.nums,$X$2:$X$100,$Y$2:$Y$100),SUBSTITUTE(_xlpm.txt,"["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"]")),K14)</f>
        <v>SiO2 (11.2–75.0%)
Fe2O3 (2.46–85.3%)
Al2O3 (4.24–19%)
CaO (0.16–31.85%)
Cu (often ~1.11%) [14]</v>
      </c>
      <c r="AK14" t="str" cm="1">
        <f t="array" ref="AK14">IFERROR(_xlfn.LET(_xlpm.txt,L14,_xlpm.inside,MID(_xlpm.txt,FIND("[",_xlpm.txt)+1,FIND("]",_xlpm.txt)-FIND("[",_xlpm.txt)-1),_xlpm.nums,VALUE(_xlfn.TEXTSPLIT(_xlpm.inside,",")),_xlpm.mapped,_xlfn.XLOOKUP(_xlpm.nums,$X$2:$X$100,$Y$2:$Y$100),SUBSTITUTE(_xlpm.txt,"["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"]")),L14)</f>
        <v>Quartz (SiO2​)
Pyrite (FeS2​)
Gypsum (CaSO4.2H2O)
Chlorite
Sanidine
Muscovite
Magnetite
Biotite [14]</v>
      </c>
      <c r="AL14" t="str" cm="1">
        <f t="array" ref="AL14">IFERROR(_xlfn.LET(_xlpm.txt,M14,_xlpm.inside,MID(_xlpm.txt,FIND("[",_xlpm.txt)+1,FIND("]",_xlpm.txt)-FIND("[",_xlpm.txt)-1),_xlpm.nums,VALUE(_xlfn.TEXTSPLIT(_xlpm.inside,",")),_xlpm.mapped,_xlfn.XLOOKUP(_xlpm.nums,$X$2:$X$100,$Y$2:$Y$100),SUBSTITUTE(_xlpm.txt,"["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"]")),M14)</f>
        <v>Si, Fe, Al, Ca, Mg, S, Ti, Cu, Mn [14]</v>
      </c>
      <c r="AM14" t="str" cm="1">
        <f t="array" ref="AM14">IFERROR(_xlfn.LET(_xlpm.txt,N14,_xlpm.inside,MID(_xlpm.txt,FIND("[",_xlpm.txt)+1,FIND("]",_xlpm.txt)-FIND("[",_xlpm.txt)-1),_xlpm.nums,VALUE(_xlfn.TEXTSPLIT(_xlpm.inside,",")),_xlpm.mapped,_xlfn.XLOOKUP(_xlpm.nums,$X$2:$X$100,$Y$2:$Y$100),SUBSTITUTE(_xlpm.txt,"["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"]")),N14)</f>
        <v>Slurry state: fine suspended materials (1–600 μm) in water, dry stack if filtered [52]</v>
      </c>
      <c r="AN14" t="str" cm="1">
        <f t="array" ref="AN14">IFERROR(_xlfn.LET(_xlpm.txt,O14,_xlpm.inside,MID(_xlpm.txt,FIND("[",_xlpm.txt)+1,FIND("]",_xlpm.txt)-FIND("[",_xlpm.txt)-1),_xlpm.nums,VALUE(_xlfn.TEXTSPLIT(_xlpm.inside,",")),_xlpm.mapped,_xlfn.XLOOKUP(_xlpm.nums,$X$2:$X$100,$Y$2:$Y$100),SUBSTITUTE(_xlpm.txt,"["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"]")),O14)</f>
        <v>Millions of tons annually</v>
      </c>
      <c r="AO14" t="str" cm="1">
        <f t="array" ref="AO14">IFERROR(_xlfn.LET(_xlpm.txt,P14,_xlpm.inside,MID(_xlpm.txt,FIND("[",_xlpm.txt)+1,FIND("]",_xlpm.txt)-FIND("[",_xlpm.txt)-1),_xlpm.nums,VALUE(_xlfn.TEXTSPLIT(_xlpm.inside,",")),_xlpm.mapped,_xlfn.XLOOKUP(_xlpm.nums,$X$2:$X$100,$Y$2:$Y$100),SUBSTITUTE(_xlpm.txt,"["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"]")),P14)</f>
        <v>6.7–10.0: Si–rich [43]
Acidic (when pH drops below 3.5), Acid Mine Drainage (AMD) risk if sulfide–rich</v>
      </c>
      <c r="AP14" t="str" cm="1">
        <f t="array" ref="AP14">IFERROR(_xlfn.LET(_xlpm.txt,Q14,_xlpm.inside,MID(_xlpm.txt,FIND("[",_xlpm.txt)+1,FIND("]",_xlpm.txt)-FIND("[",_xlpm.txt)-1),_xlpm.nums,VALUE(_xlfn.TEXTSPLIT(_xlpm.inside,",")),_xlpm.mapped,_xlfn.XLOOKUP(_xlpm.nums,$X$2:$X$100,$Y$2:$Y$100),SUBSTITUTE(_xlpm.txt,"["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"]")),Q14)</f>
        <v>40.0 – 60.0%: initial slurry state
7.0 – 9.0%: water absorption capacity [52]</v>
      </c>
    </row>
    <row r="15" spans="1:42" ht="136" x14ac:dyDescent="0.2">
      <c r="A15" s="59" t="s">
        <v>5</v>
      </c>
      <c r="B15" s="7" t="s">
        <v>1118</v>
      </c>
      <c r="C15" s="7" t="s">
        <v>9</v>
      </c>
      <c r="D15" s="7" t="s">
        <v>1160</v>
      </c>
      <c r="E15" s="7" t="s">
        <v>1161</v>
      </c>
      <c r="F15" s="7" t="s">
        <v>1162</v>
      </c>
      <c r="G15" s="7" t="s">
        <v>1163</v>
      </c>
      <c r="H15" s="7" t="s">
        <v>1164</v>
      </c>
      <c r="I15" s="7" t="s">
        <v>1165</v>
      </c>
      <c r="J15" s="7" t="s">
        <v>1166</v>
      </c>
      <c r="K15" s="7" t="s">
        <v>1167</v>
      </c>
      <c r="L15" s="7" t="s">
        <v>1168</v>
      </c>
      <c r="M15" s="7" t="s">
        <v>1169</v>
      </c>
      <c r="N15" s="7" t="s">
        <v>1170</v>
      </c>
      <c r="O15" s="7" t="s">
        <v>1171</v>
      </c>
      <c r="P15" s="7" t="s">
        <v>1172</v>
      </c>
      <c r="Q15" s="7" t="s">
        <v>1173</v>
      </c>
      <c r="X15" s="36">
        <v>17</v>
      </c>
      <c r="Y15" s="63">
        <v>23</v>
      </c>
      <c r="AA15" t="str" cm="1">
        <f t="array" ref="AA15">IFERROR(_xlfn.LET(_xlpm.txt,B15,_xlpm.inside,MID(_xlpm.txt,FIND("[",_xlpm.txt)+1,FIND("]",_xlpm.txt)-FIND("[",_xlpm.txt)-1),_xlpm.nums,VALUE(_xlfn.TEXTSPLIT(_xlpm.inside,",")),_xlpm.mapped,_xlfn.XLOOKUP(_xlpm.nums,$X$2:$X$100,$Y$2:$Y$100),SUBSTITUTE(_xlpm.txt,"["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"]")),B15)</f>
        <v>Chalcopyrite (CuFeS2), bornite (Cu5FeS4) [30,54]</v>
      </c>
      <c r="AB15" t="str" cm="1">
        <f t="array" ref="AB15">IFERROR(_xlfn.LET(_xlpm.txt,C15,_xlpm.inside,MID(_xlpm.txt,FIND("[",_xlpm.txt)+1,FIND("]",_xlpm.txt)-FIND("[",_xlpm.txt)-1),_xlpm.nums,VALUE(_xlfn.TEXTSPLIT(_xlpm.inside,",")),_xlpm.mapped,_xlfn.XLOOKUP(_xlpm.nums,$X$2:$X$100,$Y$2:$Y$100),SUBSTITUTE(_xlpm.txt,"["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"]")),C15)</f>
        <v>Copper pyro metallurgical solid waste</v>
      </c>
      <c r="AC15" t="str" cm="1">
        <f t="array" ref="AC15">IFERROR(_xlfn.LET(_xlpm.txt,D15,_xlpm.inside,MID(_xlpm.txt,FIND("[",_xlpm.txt)+1,FIND("]",_xlpm.txt)-FIND("[",_xlpm.txt)-1),_xlpm.nums,VALUE(_xlfn.TEXTSPLIT(_xlpm.inside,",")),_xlpm.mapped,_xlfn.XLOOKUP(_xlpm.nums,$X$2:$X$100,$Y$2:$Y$100),SUBSTITUTE(_xlpm.txt,"["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"]")),D15)</f>
        <v>Copper pyrometallurgy – Smelting or refining [30,17]</v>
      </c>
      <c r="AD15" t="str" cm="1">
        <f t="array" ref="AD15">IFERROR(_xlfn.LET(_xlpm.txt,E15,_xlpm.inside,MID(_xlpm.txt,FIND("[",_xlpm.txt)+1,FIND("]",_xlpm.txt)-FIND("[",_xlpm.txt)-1),_xlpm.nums,VALUE(_xlfn.TEXTSPLIT(_xlpm.inside,",")),_xlpm.mapped,_xlfn.XLOOKUP(_xlpm.nums,$X$2:$X$100,$Y$2:$Y$100),SUBSTITUTE(_xlpm.txt,"["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"]")),E15)</f>
        <v>Stepwise hydrometallurgical leaching to dissolve Cu, Cd, Zn and traceable precious metals [30]
Slag reduction (Fe and Cu alloy formation) to liberate metal entrapped in silicate phases [33]
Purification of Zn–bearing streams for secondary metal recovery [33]</v>
      </c>
      <c r="AE15" t="str" cm="1">
        <f t="array" ref="AE15">IFERROR(_xlfn.LET(_xlpm.txt,F15,_xlpm.inside,MID(_xlpm.txt,FIND("[",_xlpm.txt)+1,FIND("]",_xlpm.txt)-FIND("[",_xlpm.txt)-1),_xlpm.nums,VALUE(_xlfn.TEXTSPLIT(_xlpm.inside,",")),_xlpm.mapped,_xlfn.XLOOKUP(_xlpm.nums,$X$2:$X$100,$Y$2:$Y$100),SUBSTITUTE(_xlpm.txt,"["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"]")),F15)</f>
        <v>Complex matrix, requires multi–stage processing [30]</v>
      </c>
      <c r="AF15" t="str" cm="1">
        <f t="array" ref="AF15">IFERROR(_xlfn.LET(_xlpm.txt,G15,_xlpm.inside,MID(_xlpm.txt,FIND("[",_xlpm.txt)+1,FIND("]",_xlpm.txt)-FIND("[",_xlpm.txt)-1),_xlpm.nums,VALUE(_xlfn.TEXTSPLIT(_xlpm.inside,",")),_xlpm.mapped,_xlfn.XLOOKUP(_xlpm.nums,$X$2:$X$100,$Y$2:$Y$100),SUBSTITUTE(_xlpm.txt,"["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"]")),G15)</f>
        <v>High value extraction of Au–Ag–Cu [30]</v>
      </c>
      <c r="AG15" t="str" cm="1">
        <f t="array" ref="AG15">IFERROR(_xlfn.LET(_xlpm.txt,H15,_xlpm.inside,MID(_xlpm.txt,FIND("[",_xlpm.txt)+1,FIND("]",_xlpm.txt)-FIND("[",_xlpm.txt)-1),_xlpm.nums,VALUE(_xlfn.TEXTSPLIT(_xlpm.inside,",")),_xlpm.mapped,_xlfn.XLOOKUP(_xlpm.nums,$X$2:$X$100,$Y$2:$Y$100),SUBSTITUTE(_xlpm.txt,"["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"]")),H15)</f>
        <v>Zn compounds, recovery of Cu, Au, Ag [30]</v>
      </c>
      <c r="AH15" t="str" cm="1">
        <f t="array" ref="AH15">IFERROR(_xlfn.LET(_xlpm.txt,I15,_xlpm.inside,MID(_xlpm.txt,FIND("[",_xlpm.txt)+1,FIND("]",_xlpm.txt)-FIND("[",_xlpm.txt)-1),_xlpm.nums,VALUE(_xlfn.TEXTSPLIT(_xlpm.inside,",")),_xlpm.mapped,_xlfn.XLOOKUP(_xlpm.nums,$X$2:$X$100,$Y$2:$Y$100),SUBSTITUTE(_xlpm.txt,"["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"]")),I15)</f>
        <v>As [30]</v>
      </c>
      <c r="AI15" t="str" cm="1">
        <f t="array" ref="AI15">IFERROR(_xlfn.LET(_xlpm.txt,J15,_xlpm.inside,MID(_xlpm.txt,FIND("[",_xlpm.txt)+1,FIND("]",_xlpm.txt)-FIND("[",_xlpm.txt)-1),_xlpm.nums,VALUE(_xlfn.TEXTSPLIT(_xlpm.inside,",")),_xlpm.mapped,_xlfn.XLOOKUP(_xlpm.nums,$X$2:$X$100,$Y$2:$Y$100),SUBSTITUTE(_xlpm.txt,"["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"]")),J15)</f>
        <v>Cu [30]</v>
      </c>
      <c r="AJ15" t="str" cm="1">
        <f t="array" ref="AJ15">IFERROR(_xlfn.LET(_xlpm.txt,K15,_xlpm.inside,MID(_xlpm.txt,FIND("[",_xlpm.txt)+1,FIND("]",_xlpm.txt)-FIND("[",_xlpm.txt)-1),_xlpm.nums,VALUE(_xlfn.TEXTSPLIT(_xlpm.inside,",")),_xlpm.mapped,_xlfn.XLOOKUP(_xlpm.nums,$X$2:$X$100,$Y$2:$Y$100),SUBSTITUTE(_xlpm.txt,"["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"]")),K15)</f>
        <v>Cu (0.25–20%)
Fe
SiO2 (fayalitic matrix) [30]</v>
      </c>
      <c r="AK15" t="str" cm="1">
        <f t="array" ref="AK15">IFERROR(_xlfn.LET(_xlpm.txt,L15,_xlpm.inside,MID(_xlpm.txt,FIND("[",_xlpm.txt)+1,FIND("]",_xlpm.txt)-FIND("[",_xlpm.txt)-1),_xlpm.nums,VALUE(_xlfn.TEXTSPLIT(_xlpm.inside,",")),_xlpm.mapped,_xlfn.XLOOKUP(_xlpm.nums,$X$2:$X$100,$Y$2:$Y$100),SUBSTITUTE(_xlpm.txt,"["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"]")),L15)</f>
        <v>Fayalite (Fe2​SiO4​)
Magnetite (Fe3​O4​)
Wüstite (FeO) [51]</v>
      </c>
      <c r="AL15" t="str" cm="1">
        <f t="array" ref="AL15">IFERROR(_xlfn.LET(_xlpm.txt,M15,_xlpm.inside,MID(_xlpm.txt,FIND("[",_xlpm.txt)+1,FIND("]",_xlpm.txt)-FIND("[",_xlpm.txt)-1),_xlpm.nums,VALUE(_xlfn.TEXTSPLIT(_xlpm.inside,",")),_xlpm.mapped,_xlfn.XLOOKUP(_xlpm.nums,$X$2:$X$100,$Y$2:$Y$100),SUBSTITUTE(_xlpm.txt,"["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"]")),M15)</f>
        <v>Cu, Zn, Cd, Si, Cd, O, Fe, Au, Ag, Se, Te [30]</v>
      </c>
      <c r="AM15" t="str" cm="1">
        <f t="array" ref="AM15">IFERROR(_xlfn.LET(_xlpm.txt,N15,_xlpm.inside,MID(_xlpm.txt,FIND("[",_xlpm.txt)+1,FIND("]",_xlpm.txt)-FIND("[",_xlpm.txt)-1),_xlpm.nums,VALUE(_xlfn.TEXTSPLIT(_xlpm.inside,",")),_xlpm.mapped,_xlfn.XLOOKUP(_xlpm.nums,$X$2:$X$100,$Y$2:$Y$100),SUBSTITUTE(_xlpm.txt,"["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"]")),N15)</f>
        <v>Solid state: granular slag or ash [30]</v>
      </c>
      <c r="AN15" t="str" cm="1">
        <f t="array" ref="AN15">IFERROR(_xlfn.LET(_xlpm.txt,O15,_xlpm.inside,MID(_xlpm.txt,FIND("[",_xlpm.txt)+1,FIND("]",_xlpm.txt)-FIND("[",_xlpm.txt)-1),_xlpm.nums,VALUE(_xlfn.TEXTSPLIT(_xlpm.inside,",")),_xlpm.mapped,_xlfn.XLOOKUP(_xlpm.nums,$X$2:$X$100,$Y$2:$Y$100),SUBSTITUTE(_xlpm.txt,"["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"]")),O15)</f>
        <v>Part of 2–3 t of solid waste generated from refinning copper which includes slag, ash and slime [30]</v>
      </c>
      <c r="AO15" t="str" cm="1">
        <f t="array" ref="AO15">IFERROR(_xlfn.LET(_xlpm.txt,P15,_xlpm.inside,MID(_xlpm.txt,FIND("[",_xlpm.txt)+1,FIND("]",_xlpm.txt)-FIND("[",_xlpm.txt)-1),_xlpm.nums,VALUE(_xlfn.TEXTSPLIT(_xlpm.inside,",")),_xlpm.mapped,_xlfn.XLOOKUP(_xlpm.nums,$X$2:$X$100,$Y$2:$Y$100),SUBSTITUTE(_xlpm.txt,"["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"]")),P15)</f>
        <v>Alkaline: standard fayalite–type solid residues [30]</v>
      </c>
      <c r="AP15" t="str" cm="1">
        <f t="array" ref="AP15">IFERROR(_xlfn.LET(_xlpm.txt,Q15,_xlpm.inside,MID(_xlpm.txt,FIND("[",_xlpm.txt)+1,FIND("]",_xlpm.txt)-FIND("[",_xlpm.txt)-1),_xlpm.nums,VALUE(_xlfn.TEXTSPLIT(_xlpm.inside,",")),_xlpm.mapped,_xlfn.XLOOKUP(_xlpm.nums,$X$2:$X$100,$Y$2:$Y$100),SUBSTITUTE(_xlpm.txt,"["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"]")),Q15)</f>
        <v>Low: standard solid metallurgical residue [30]</v>
      </c>
    </row>
    <row r="16" spans="1:42" ht="119" x14ac:dyDescent="0.2">
      <c r="A16" s="6" t="s">
        <v>226</v>
      </c>
      <c r="B16" s="7" t="s">
        <v>1174</v>
      </c>
      <c r="C16" s="7" t="s">
        <v>10</v>
      </c>
      <c r="D16" s="7" t="s">
        <v>1175</v>
      </c>
      <c r="E16" s="7" t="s">
        <v>1176</v>
      </c>
      <c r="F16" s="7" t="s">
        <v>1177</v>
      </c>
      <c r="G16" s="7" t="s">
        <v>1178</v>
      </c>
      <c r="H16" s="7" t="s">
        <v>1179</v>
      </c>
      <c r="I16" s="7" t="s">
        <v>1180</v>
      </c>
      <c r="J16" s="7" t="s">
        <v>1181</v>
      </c>
      <c r="K16" s="7" t="s">
        <v>1182</v>
      </c>
      <c r="L16" s="7" t="s">
        <v>1183</v>
      </c>
      <c r="M16" s="7" t="s">
        <v>1184</v>
      </c>
      <c r="N16" s="7" t="s">
        <v>1185</v>
      </c>
      <c r="O16" s="7" t="s">
        <v>1186</v>
      </c>
      <c r="P16" s="7" t="s">
        <v>1187</v>
      </c>
      <c r="Q16" s="7" t="s">
        <v>1188</v>
      </c>
      <c r="X16" s="36">
        <v>18</v>
      </c>
      <c r="Y16" s="63">
        <v>17</v>
      </c>
      <c r="AA16" t="str" cm="1">
        <f t="array" ref="AA16">IFERROR(_xlfn.LET(_xlpm.txt,B16,_xlpm.inside,MID(_xlpm.txt,FIND("[",_xlpm.txt)+1,FIND("]",_xlpm.txt)-FIND("[",_xlpm.txt)-1),_xlpm.nums,VALUE(_xlfn.TEXTSPLIT(_xlpm.inside,",")),_xlpm.mapped,_xlfn.XLOOKUP(_xlpm.nums,$X$2:$X$100,$Y$2:$Y$100),SUBSTITUTE(_xlpm.txt,"["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"]")),B16)</f>
        <v>Chalcopyrite (CuFeS2), galena (PbS), sphalerite (ZnS) [47,51,54]</v>
      </c>
      <c r="AB16" t="str" cm="1">
        <f t="array" ref="AB16">IFERROR(_xlfn.LET(_xlpm.txt,C16,_xlpm.inside,MID(_xlpm.txt,FIND("[",_xlpm.txt)+1,FIND("]",_xlpm.txt)-FIND("[",_xlpm.txt)-1),_xlpm.nums,VALUE(_xlfn.TEXTSPLIT(_xlpm.inside,",")),_xlpm.mapped,_xlfn.XLOOKUP(_xlpm.nums,$X$2:$X$100,$Y$2:$Y$100),SUBSTITUTE(_xlpm.txt,"["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"]")),C16)</f>
        <v>Anode slimes</v>
      </c>
      <c r="AC16" t="str" cm="1">
        <f t="array" ref="AC16">IFERROR(_xlfn.LET(_xlpm.txt,D16,_xlpm.inside,MID(_xlpm.txt,FIND("[",_xlpm.txt)+1,FIND("]",_xlpm.txt)-FIND("[",_xlpm.txt)-1),_xlpm.nums,VALUE(_xlfn.TEXTSPLIT(_xlpm.inside,",")),_xlpm.mapped,_xlfn.XLOOKUP(_xlpm.nums,$X$2:$X$100,$Y$2:$Y$100),SUBSTITUTE(_xlpm.txt,"["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"]")),D16)</f>
        <v>Electrorefining – anode slime collection [9,50]</v>
      </c>
      <c r="AD16" t="str" cm="1">
        <f t="array" ref="AD16">IFERROR(_xlfn.LET(_xlpm.txt,E16,_xlpm.inside,MID(_xlpm.txt,FIND("[",_xlpm.txt)+1,FIND("]",_xlpm.txt)-FIND("[",_xlpm.txt)-1),_xlpm.nums,VALUE(_xlfn.TEXTSPLIT(_xlpm.inside,",")),_xlpm.mapped,_xlfn.XLOOKUP(_xlpm.nums,$X$2:$X$100,$Y$2:$Y$100),SUBSTITUTE(_xlpm.txt,"["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"]")),E16)</f>
        <v>Oxidative roasting to break down refractory selenides or tellurides prior to leaching [19]
Sequential leaching to selectively recover Ag, Se, Te, Au, and PGMs [6]
Electrorefining to obtain high–purity Au or Ag and remaining Cu [19]</v>
      </c>
      <c r="AE16" t="str" cm="1">
        <f t="array" ref="AE16">IFERROR(_xlfn.LET(_xlpm.txt,F16,_xlpm.inside,MID(_xlpm.txt,FIND("[",_xlpm.txt)+1,FIND("]",_xlpm.txt)-FIND("[",_xlpm.txt)-1),_xlpm.nums,VALUE(_xlfn.TEXTSPLIT(_xlpm.inside,",")),_xlpm.mapped,_xlfn.XLOOKUP(_xlpm.nums,$X$2:$X$100,$Y$2:$Y$100),SUBSTITUTE(_xlpm.txt,"["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"]")),F16)</f>
        <v>Complex multi–stage refining processes, hazardous Se or Te compounds presence [50,9]</v>
      </c>
      <c r="AF16" t="str" cm="1">
        <f t="array" ref="AF16">IFERROR(_xlfn.LET(_xlpm.txt,G16,_xlpm.inside,MID(_xlpm.txt,FIND("[",_xlpm.txt)+1,FIND("]",_xlpm.txt)-FIND("[",_xlpm.txt)-1),_xlpm.nums,VALUE(_xlfn.TEXTSPLIT(_xlpm.inside,",")),_xlpm.mapped,_xlfn.XLOOKUP(_xlpm.nums,$X$2:$X$100,$Y$2:$Y$100),SUBSTITUTE(_xlpm.txt,"["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"]")),G16)</f>
        <v>Extremely rich in noble metals leading to major economic driver [50,9]</v>
      </c>
      <c r="AG16" t="str" cm="1">
        <f t="array" ref="AG16">IFERROR(_xlfn.LET(_xlpm.txt,H16,_xlpm.inside,MID(_xlpm.txt,FIND("[",_xlpm.txt)+1,FIND("]",_xlpm.txt)-FIND("[",_xlpm.txt)-1),_xlpm.nums,VALUE(_xlfn.TEXTSPLIT(_xlpm.inside,",")),_xlpm.mapped,_xlfn.XLOOKUP(_xlpm.nums,$X$2:$X$100,$Y$2:$Y$100),SUBSTITUTE(_xlpm.txt,"["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"]")),H16)</f>
        <v>Refined Au, Ag, Se, Te, PGMs' concentrates [50,9]</v>
      </c>
      <c r="AH16" t="str" cm="1">
        <f t="array" ref="AH16">IFERROR(_xlfn.LET(_xlpm.txt,I16,_xlpm.inside,MID(_xlpm.txt,FIND("[",_xlpm.txt)+1,FIND("]",_xlpm.txt)-FIND("[",_xlpm.txt)-1),_xlpm.nums,VALUE(_xlfn.TEXTSPLIT(_xlpm.inside,",")),_xlpm.mapped,_xlfn.XLOOKUP(_xlpm.nums,$X$2:$X$100,$Y$2:$Y$100),SUBSTITUTE(_xlpm.txt,"["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"]")),I16)</f>
        <v>As, PGMs [19]</v>
      </c>
      <c r="AI16" t="str" cm="1">
        <f t="array" ref="AI16">IFERROR(_xlfn.LET(_xlpm.txt,J16,_xlpm.inside,MID(_xlpm.txt,FIND("[",_xlpm.txt)+1,FIND("]",_xlpm.txt)-FIND("[",_xlpm.txt)-1),_xlpm.nums,VALUE(_xlfn.TEXTSPLIT(_xlpm.inside,",")),_xlpm.mapped,_xlfn.XLOOKUP(_xlpm.nums,$X$2:$X$100,$Y$2:$Y$100),SUBSTITUTE(_xlpm.txt,"["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"]")),J16)</f>
        <v>PGMs (Pt, Pd, Rh, Ru, Ir), Cu [19]</v>
      </c>
      <c r="AJ16" t="str" cm="1">
        <f t="array" ref="AJ16">IFERROR(_xlfn.LET(_xlpm.txt,K16,_xlpm.inside,MID(_xlpm.txt,FIND("[",_xlpm.txt)+1,FIND("]",_xlpm.txt)-FIND("[",_xlpm.txt)-1),_xlpm.nums,VALUE(_xlfn.TEXTSPLIT(_xlpm.inside,",")),_xlpm.mapped,_xlfn.XLOOKUP(_xlpm.nums,$X$2:$X$100,$Y$2:$Y$100),SUBSTITUTE(_xlpm.txt,"["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"]")),K16)</f>
        <v>Ag (1–28%)
Au (0.1–1.5%)
PGMs (~70 g/t)
Se, Te, Cu, Pb 
Bulk Cu (10–50 wt%) [19]</v>
      </c>
      <c r="AK16" t="str" cm="1">
        <f t="array" ref="AK16">IFERROR(_xlfn.LET(_xlpm.txt,L16,_xlpm.inside,MID(_xlpm.txt,FIND("[",_xlpm.txt)+1,FIND("]",_xlpm.txt)-FIND("[",_xlpm.txt)-1),_xlpm.nums,VALUE(_xlfn.TEXTSPLIT(_xlpm.inside,",")),_xlpm.mapped,_xlfn.XLOOKUP(_xlpm.nums,$X$2:$X$100,$Y$2:$Y$100),SUBSTITUTE(_xlpm.txt,"["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"]")),L16)</f>
        <v>Naumannite (Ag2​Se)
Hessite (Ag2​Te)
Eucairite (CuAgSe)
Petzite (Ag3​AuSe2​)
PbSO4​ [19]</v>
      </c>
      <c r="AL16" t="str" cm="1">
        <f t="array" ref="AL16">IFERROR(_xlfn.LET(_xlpm.txt,M16,_xlpm.inside,MID(_xlpm.txt,FIND("[",_xlpm.txt)+1,FIND("]",_xlpm.txt)-FIND("[",_xlpm.txt)-1),_xlpm.nums,VALUE(_xlfn.TEXTSPLIT(_xlpm.inside,",")),_xlpm.mapped,_xlfn.XLOOKUP(_xlpm.nums,$X$2:$X$100,$Y$2:$Y$100),SUBSTITUTE(_xlpm.txt,"["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"]")),M16)</f>
        <v>Cu, Ag, Au, Pb, Se, Te, As, Sb, Bi, Ni, PGMs (Pt, Pd, Rh, Ru, Ir) [19]</v>
      </c>
      <c r="AM16" t="str" cm="1">
        <f t="array" ref="AM16">IFERROR(_xlfn.LET(_xlpm.txt,N16,_xlpm.inside,MID(_xlpm.txt,FIND("[",_xlpm.txt)+1,FIND("]",_xlpm.txt)-FIND("[",_xlpm.txt)-1),_xlpm.nums,VALUE(_xlfn.TEXTSPLIT(_xlpm.inside,",")),_xlpm.mapped,_xlfn.XLOOKUP(_xlpm.nums,$X$2:$X$100,$Y$2:$Y$100),SUBSTITUTE(_xlpm.txt,"["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"]")),N16)</f>
        <v>Wet solid or slime state: concentrated residue from electrolytic refining [19]</v>
      </c>
      <c r="AN16" t="str" cm="1">
        <f t="array" ref="AN16">IFERROR(_xlfn.LET(_xlpm.txt,O16,_xlpm.inside,MID(_xlpm.txt,FIND("[",_xlpm.txt)+1,FIND("]",_xlpm.txt)-FIND("[",_xlpm.txt)-1),_xlpm.nums,VALUE(_xlfn.TEXTSPLIT(_xlpm.inside,",")),_xlpm.mapped,_xlfn.XLOOKUP(_xlpm.nums,$X$2:$X$100,$Y$2:$Y$100),SUBSTITUTE(_xlpm.txt,"["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"]")),O16)</f>
        <v>55,000 t/year globally  [19]</v>
      </c>
      <c r="AO16" t="str" cm="1">
        <f t="array" ref="AO16">IFERROR(_xlfn.LET(_xlpm.txt,P16,_xlpm.inside,MID(_xlpm.txt,FIND("[",_xlpm.txt)+1,FIND("]",_xlpm.txt)-FIND("[",_xlpm.txt)-1),_xlpm.nums,VALUE(_xlfn.TEXTSPLIT(_xlpm.inside,",")),_xlpm.mapped,_xlfn.XLOOKUP(_xlpm.nums,$X$2:$X$100,$Y$2:$Y$100),SUBSTITUTE(_xlpm.txt,"["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"]")),P16)</f>
        <v>Acidic: pH 1.75 is optimal for metal recovery) [19]</v>
      </c>
      <c r="AP16" t="str" cm="1">
        <f t="array" ref="AP16">IFERROR(_xlfn.LET(_xlpm.txt,Q16,_xlpm.inside,MID(_xlpm.txt,FIND("[",_xlpm.txt)+1,FIND("]",_xlpm.txt)-FIND("[",_xlpm.txt)-1),_xlpm.nums,VALUE(_xlfn.TEXTSPLIT(_xlpm.inside,",")),_xlpm.mapped,_xlfn.XLOOKUP(_xlpm.nums,$X$2:$X$100,$Y$2:$Y$100),SUBSTITUTE(_xlpm.txt,"["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"]")),Q16)</f>
        <v>High: wet slime from electrolytic refining required dewatering [19]</v>
      </c>
    </row>
    <row r="17" spans="1:42" ht="136" x14ac:dyDescent="0.2">
      <c r="A17" s="9" t="s">
        <v>11</v>
      </c>
      <c r="B17" s="10" t="s">
        <v>1189</v>
      </c>
      <c r="C17" s="10" t="s">
        <v>227</v>
      </c>
      <c r="D17" s="10" t="s">
        <v>1190</v>
      </c>
      <c r="E17" s="10" t="s">
        <v>1191</v>
      </c>
      <c r="F17" s="10" t="s">
        <v>1192</v>
      </c>
      <c r="G17" s="10" t="s">
        <v>1193</v>
      </c>
      <c r="H17" s="10" t="s">
        <v>1194</v>
      </c>
      <c r="I17" s="10" t="s">
        <v>1195</v>
      </c>
      <c r="J17" s="10" t="s">
        <v>1196</v>
      </c>
      <c r="K17" s="10" t="s">
        <v>1197</v>
      </c>
      <c r="L17" s="10" t="s">
        <v>1198</v>
      </c>
      <c r="M17" s="10" t="s">
        <v>1199</v>
      </c>
      <c r="N17" s="10" t="s">
        <v>1200</v>
      </c>
      <c r="O17" s="10" t="s">
        <v>1201</v>
      </c>
      <c r="P17" s="10" t="s">
        <v>1202</v>
      </c>
      <c r="Q17" s="10" t="s">
        <v>1203</v>
      </c>
      <c r="X17" s="36">
        <v>19</v>
      </c>
      <c r="Y17" s="63">
        <v>38</v>
      </c>
      <c r="AA17" t="str" cm="1">
        <f t="array" ref="AA17">IFERROR(_xlfn.LET(_xlpm.txt,B17,_xlpm.inside,MID(_xlpm.txt,FIND("[",_xlpm.txt)+1,FIND("]",_xlpm.txt)-FIND("[",_xlpm.txt)-1),_xlpm.nums,VALUE(_xlfn.TEXTSPLIT(_xlpm.inside,",")),_xlpm.mapped,_xlfn.XLOOKUP(_xlpm.nums,$X$2:$X$100,$Y$2:$Y$100),SUBSTITUTE(_xlpm.txt,"["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"]")),B17)</f>
        <v>Sphalerite (ZnS), EAF dust (zincite, franklinite) [54,51]</v>
      </c>
      <c r="AB17" t="str" cm="1">
        <f t="array" ref="AB17">IFERROR(_xlfn.LET(_xlpm.txt,C17,_xlpm.inside,MID(_xlpm.txt,FIND("[",_xlpm.txt)+1,FIND("]",_xlpm.txt)-FIND("[",_xlpm.txt)-1),_xlpm.nums,VALUE(_xlfn.TEXTSPLIT(_xlpm.inside,",")),_xlpm.mapped,_xlfn.XLOOKUP(_xlpm.nums,$X$2:$X$100,$Y$2:$Y$100),SUBSTITUTE(_xlpm.txt,"["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"]")),C17)</f>
        <v>Jarosite or goethite leach residues</v>
      </c>
      <c r="AC17" t="str" cm="1">
        <f t="array" ref="AC17">IFERROR(_xlfn.LET(_xlpm.txt,D17,_xlpm.inside,MID(_xlpm.txt,FIND("[",_xlpm.txt)+1,FIND("]",_xlpm.txt)-FIND("[",_xlpm.txt)-1),_xlpm.nums,VALUE(_xlfn.TEXTSPLIT(_xlpm.inside,",")),_xlpm.mapped,_xlfn.XLOOKUP(_xlpm.nums,$X$2:$X$100,$Y$2:$Y$100),SUBSTITUTE(_xlpm.txt,"["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"]")),D17)</f>
        <v>Zn hydrometallurgy, iron removal step [47,51]</v>
      </c>
      <c r="AD17" t="str" cm="1">
        <f t="array" ref="AD17">IFERROR(_xlfn.LET(_xlpm.txt,E17,_xlpm.inside,MID(_xlpm.txt,FIND("[",_xlpm.txt)+1,FIND("]",_xlpm.txt)-FIND("[",_xlpm.txt)-1),_xlpm.nums,VALUE(_xlfn.TEXTSPLIT(_xlpm.inside,",")),_xlpm.mapped,_xlfn.XLOOKUP(_xlpm.nums,$X$2:$X$100,$Y$2:$Y$100),SUBSTITUTE(_xlpm.txt,"["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"]")),E17)</f>
        <v>Acidic or alkaline leaching to dissolve Zn and Pb or Ag retained in jarosite or goethite matrix [47]
Thermal conversion to hematite or magnetite to reduce hazardous leachability and improve stability [47]
Stabilisation of toxic elements through phase transformation [8]</v>
      </c>
      <c r="AE17" t="str" cm="1">
        <f t="array" ref="AE17">IFERROR(_xlfn.LET(_xlpm.txt,F17,_xlpm.inside,MID(_xlpm.txt,FIND("[",_xlpm.txt)+1,FIND("]",_xlpm.txt)-FIND("[",_xlpm.txt)-1),_xlpm.nums,VALUE(_xlfn.TEXTSPLIT(_xlpm.inside,",")),_xlpm.mapped,_xlfn.XLOOKUP(_xlpm.nums,$X$2:$X$100,$Y$2:$Y$100),SUBSTITUTE(_xlpm.txt,"["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"]")),F17)</f>
        <v>Hazardous presence of Pb or Cd or Cr, low–metal grade [54]</v>
      </c>
      <c r="AF17" t="str" cm="1">
        <f t="array" ref="AF17">IFERROR(_xlfn.LET(_xlpm.txt,G17,_xlpm.inside,MID(_xlpm.txt,FIND("[",_xlpm.txt)+1,FIND("]",_xlpm.txt)-FIND("[",_xlpm.txt)-1),_xlpm.nums,VALUE(_xlfn.TEXTSPLIT(_xlpm.inside,",")),_xlpm.mapped,_xlfn.XLOOKUP(_xlpm.nums,$X$2:$X$100,$Y$2:$Y$100),SUBSTITUTE(_xlpm.txt,"["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"]")),G17)</f>
        <v>Value addition through hematite or magnetite production [54]</v>
      </c>
      <c r="AG17" t="str" cm="1">
        <f t="array" ref="AG17">IFERROR(_xlfn.LET(_xlpm.txt,H17,_xlpm.inside,MID(_xlpm.txt,FIND("[",_xlpm.txt)+1,FIND("]",_xlpm.txt)-FIND("[",_xlpm.txt)-1),_xlpm.nums,VALUE(_xlfn.TEXTSPLIT(_xlpm.inside,",")),_xlpm.mapped,_xlfn.XLOOKUP(_xlpm.nums,$X$2:$X$100,$Y$2:$Y$100),SUBSTITUTE(_xlpm.txt,"["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"]")),H17)</f>
        <v>Zn, Pb Ag recovery, pigment magnetite [54]</v>
      </c>
      <c r="AH17" t="str" cm="1">
        <f t="array" ref="AH17">IFERROR(_xlfn.LET(_xlpm.txt,I17,_xlpm.inside,MID(_xlpm.txt,FIND("[",_xlpm.txt)+1,FIND("]",_xlpm.txt)-FIND("[",_xlpm.txt)-1),_xlpm.nums,VALUE(_xlfn.TEXTSPLIT(_xlpm.inside,",")),_xlpm.mapped,_xlfn.XLOOKUP(_xlpm.nums,$X$2:$X$100,$Y$2:$Y$100),SUBSTITUTE(_xlpm.txt,"["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"]")),I17)</f>
        <v>As, Sc, V, Sb [40]</v>
      </c>
      <c r="AI17" t="str" cm="1">
        <f t="array" ref="AI17">IFERROR(_xlfn.LET(_xlpm.txt,J17,_xlpm.inside,MID(_xlpm.txt,FIND("[",_xlpm.txt)+1,FIND("]",_xlpm.txt)-FIND("[",_xlpm.txt)-1),_xlpm.nums,VALUE(_xlfn.TEXTSPLIT(_xlpm.inside,",")),_xlpm.mapped,_xlfn.XLOOKUP(_xlpm.nums,$X$2:$X$100,$Y$2:$Y$100),SUBSTITUTE(_xlpm.txt,"["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"]")),J17)</f>
        <v>Ni (battery grade) [40]</v>
      </c>
      <c r="AJ17" t="str" cm="1">
        <f t="array" ref="AJ17">IFERROR(_xlfn.LET(_xlpm.txt,K17,_xlpm.inside,MID(_xlpm.txt,FIND("[",_xlpm.txt)+1,FIND("]",_xlpm.txt)-FIND("[",_xlpm.txt)-1),_xlpm.nums,VALUE(_xlfn.TEXTSPLIT(_xlpm.inside,",")),_xlpm.mapped,_xlfn.XLOOKUP(_xlpm.nums,$X$2:$X$100,$Y$2:$Y$100),SUBSTITUTE(_xlpm.txt,"["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"]")),K17)</f>
        <v>Typically Zn–leach residues by hydrometallurgical process (Fe, Zn, Pb, S, In, Ag, Au) [19,14]</v>
      </c>
      <c r="AK17" t="str" cm="1">
        <f t="array" ref="AK17">IFERROR(_xlfn.LET(_xlpm.txt,L17,_xlpm.inside,MID(_xlpm.txt,FIND("[",_xlpm.txt)+1,FIND("]",_xlpm.txt)-FIND("[",_xlpm.txt)-1),_xlpm.nums,VALUE(_xlfn.TEXTSPLIT(_xlpm.inside,",")),_xlpm.mapped,_xlfn.XLOOKUP(_xlpm.nums,$X$2:$X$100,$Y$2:$Y$100),SUBSTITUTE(_xlpm.txt,"["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"]")),L17)</f>
        <v>Ammonium jarosite (NH4​Fe3​(SO4​)2​(OH)6​)
Goethite (FeOOH)
Magnetite (Fe3​O4​) [40]</v>
      </c>
      <c r="AL17" t="str" cm="1">
        <f t="array" ref="AL17">IFERROR(_xlfn.LET(_xlpm.txt,M17,_xlpm.inside,MID(_xlpm.txt,FIND("[",_xlpm.txt)+1,FIND("]",_xlpm.txt)-FIND("[",_xlpm.txt)-1),_xlpm.nums,VALUE(_xlfn.TEXTSPLIT(_xlpm.inside,",")),_xlpm.mapped,_xlfn.XLOOKUP(_xlpm.nums,$X$2:$X$100,$Y$2:$Y$100),SUBSTITUTE(_xlpm.txt,"["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"]")),M17)</f>
        <v>Fe, Zn, Pb, S, In, Ag, Au, Cu, As, Cd, Hg, Sb, Ba [51]</v>
      </c>
      <c r="AM17" t="str" cm="1">
        <f t="array" ref="AM17">IFERROR(_xlfn.LET(_xlpm.txt,N17,_xlpm.inside,MID(_xlpm.txt,FIND("[",_xlpm.txt)+1,FIND("]",_xlpm.txt)-FIND("[",_xlpm.txt)-1),_xlpm.nums,VALUE(_xlfn.TEXTSPLIT(_xlpm.inside,",")),_xlpm.mapped,_xlfn.XLOOKUP(_xlpm.nums,$X$2:$X$100,$Y$2:$Y$100),SUBSTITUTE(_xlpm.txt,"["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"]")),N17)</f>
        <v>Wet solid or sludge state: precipitated residue, often presented as filter cake [35]</v>
      </c>
      <c r="AN17" t="str" cm="1">
        <f t="array" ref="AN17">IFERROR(_xlfn.LET(_xlpm.txt,O17,_xlpm.inside,MID(_xlpm.txt,FIND("[",_xlpm.txt)+1,FIND("]",_xlpm.txt)-FIND("[",_xlpm.txt)-1),_xlpm.nums,VALUE(_xlfn.TEXTSPLIT(_xlpm.inside,",")),_xlpm.mapped,_xlfn.XLOOKUP(_xlpm.nums,$X$2:$X$100,$Y$2:$Y$100),SUBSTITUTE(_xlpm.txt,"["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"]")),O17)</f>
        <v>Secondary industrial process waste from Zn/Fe leaching [4]</v>
      </c>
      <c r="AO17" t="str" cm="1">
        <f t="array" ref="AO17">IFERROR(_xlfn.LET(_xlpm.txt,P17,_xlpm.inside,MID(_xlpm.txt,FIND("[",_xlpm.txt)+1,FIND("]",_xlpm.txt)-FIND("[",_xlpm.txt)-1),_xlpm.nums,VALUE(_xlfn.TEXTSPLIT(_xlpm.inside,",")),_xlpm.mapped,_xlfn.XLOOKUP(_xlpm.nums,$X$2:$X$100,$Y$2:$Y$100),SUBSTITUTE(_xlpm.txt,"["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"]")),P17)</f>
        <v>Acidic: sulfate–rich process with precipitate [35]</v>
      </c>
      <c r="AP17" t="str" cm="1">
        <f t="array" ref="AP17">IFERROR(_xlfn.LET(_xlpm.txt,Q17,_xlpm.inside,MID(_xlpm.txt,FIND("[",_xlpm.txt)+1,FIND("]",_xlpm.txt)-FIND("[",_xlpm.txt)-1),_xlpm.nums,VALUE(_xlfn.TEXTSPLIT(_xlpm.inside,",")),_xlpm.mapped,_xlfn.XLOOKUP(_xlpm.nums,$X$2:$X$100,$Y$2:$Y$100),SUBSTITUTE(_xlpm.txt,"["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"]")),Q17)</f>
        <v>High: precipitate handled as wet filter cake) [35]</v>
      </c>
    </row>
    <row r="18" spans="1:42" ht="102" x14ac:dyDescent="0.2">
      <c r="A18" s="60" t="s">
        <v>228</v>
      </c>
      <c r="B18" s="10" t="s">
        <v>1204</v>
      </c>
      <c r="C18" s="10" t="s">
        <v>12</v>
      </c>
      <c r="D18" s="10" t="s">
        <v>1205</v>
      </c>
      <c r="E18" s="10" t="s">
        <v>1206</v>
      </c>
      <c r="F18" s="10" t="s">
        <v>1207</v>
      </c>
      <c r="G18" s="10" t="s">
        <v>1208</v>
      </c>
      <c r="H18" s="10" t="s">
        <v>1209</v>
      </c>
      <c r="I18" s="10" t="s">
        <v>237</v>
      </c>
      <c r="J18" s="10" t="s">
        <v>237</v>
      </c>
      <c r="K18" s="10" t="s">
        <v>1210</v>
      </c>
      <c r="L18" s="10" t="s">
        <v>1211</v>
      </c>
      <c r="M18" s="10" t="s">
        <v>1212</v>
      </c>
      <c r="N18" s="10" t="s">
        <v>1213</v>
      </c>
      <c r="O18" s="10" t="s">
        <v>1214</v>
      </c>
      <c r="P18" s="10" t="s">
        <v>1215</v>
      </c>
      <c r="Q18" s="10" t="s">
        <v>1216</v>
      </c>
      <c r="X18" s="36">
        <v>20</v>
      </c>
      <c r="Y18" s="63">
        <v>36</v>
      </c>
      <c r="AA18" t="str" cm="1">
        <f t="array" ref="AA18">IFERROR(_xlfn.LET(_xlpm.txt,B18,_xlpm.inside,MID(_xlpm.txt,FIND("[",_xlpm.txt)+1,FIND("]",_xlpm.txt)-FIND("[",_xlpm.txt)-1),_xlpm.nums,VALUE(_xlfn.TEXTSPLIT(_xlpm.inside,",")),_xlpm.mapped,_xlfn.XLOOKUP(_xlpm.nums,$X$2:$X$100,$Y$2:$Y$100),SUBSTITUTE(_xlpm.txt,"["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"]")),B18)</f>
        <v>Galena (PbS), sphalerite (ZnS) [51,39]</v>
      </c>
      <c r="AB18" t="str" cm="1">
        <f t="array" ref="AB18">IFERROR(_xlfn.LET(_xlpm.txt,C18,_xlpm.inside,MID(_xlpm.txt,FIND("[",_xlpm.txt)+1,FIND("]",_xlpm.txt)-FIND("[",_xlpm.txt)-1),_xlpm.nums,VALUE(_xlfn.TEXTSPLIT(_xlpm.inside,",")),_xlpm.mapped,_xlfn.XLOOKUP(_xlpm.nums,$X$2:$X$100,$Y$2:$Y$100),SUBSTITUTE(_xlpm.txt,"["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"]")),C18)</f>
        <v>Waelz oxide</v>
      </c>
      <c r="AC18" t="str" cm="1">
        <f t="array" ref="AC18">IFERROR(_xlfn.LET(_xlpm.txt,D18,_xlpm.inside,MID(_xlpm.txt,FIND("[",_xlpm.txt)+1,FIND("]",_xlpm.txt)-FIND("[",_xlpm.txt)-1),_xlpm.nums,VALUE(_xlfn.TEXTSPLIT(_xlpm.inside,",")),_xlpm.mapped,_xlfn.XLOOKUP(_xlpm.nums,$X$2:$X$100,$Y$2:$Y$100),SUBSTITUTE(_xlpm.txt,"["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"]")),D18)</f>
        <v>Waelz kiln treatment – volatile oxide fraction [39,51]</v>
      </c>
      <c r="AD18" t="str" cm="1">
        <f t="array" ref="AD18">IFERROR(_xlfn.LET(_xlpm.txt,E18,_xlpm.inside,MID(_xlpm.txt,FIND("[",_xlpm.txt)+1,FIND("]",_xlpm.txt)-FIND("[",_xlpm.txt)-1),_xlpm.nums,VALUE(_xlfn.TEXTSPLIT(_xlpm.inside,",")),_xlpm.mapped,_xlfn.XLOOKUP(_xlpm.nums,$X$2:$X$100,$Y$2:$Y$100),SUBSTITUTE(_xlpm.txt,"["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"]")),E18)</f>
        <v>Hydrometallurgical purification to. Produce market grade ZnO from Zn–ferrite dust condensates [39]
Volatilisation separation during Waelz kiln processing to isolate Zn and Pb oxide phases [39]</v>
      </c>
      <c r="AE18" t="str" cm="1">
        <f t="array" ref="AE18">IFERROR(_xlfn.LET(_xlpm.txt,F18,_xlpm.inside,MID(_xlpm.txt,FIND("[",_xlpm.txt)+1,FIND("]",_xlpm.txt)-FIND("[",_xlpm.txt)-1),_xlpm.nums,VALUE(_xlfn.TEXTSPLIT(_xlpm.inside,",")),_xlpm.mapped,_xlfn.XLOOKUP(_xlpm.nums,$X$2:$X$100,$Y$2:$Y$100),SUBSTITUTE(_xlpm.txt,"["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"]")),F18)</f>
        <v>Halide contamination, purity control [39,51]</v>
      </c>
      <c r="AF18" t="str" cm="1">
        <f t="array" ref="AF18">IFERROR(_xlfn.LET(_xlpm.txt,G18,_xlpm.inside,MID(_xlpm.txt,FIND("[",_xlpm.txt)+1,FIND("]",_xlpm.txt)-FIND("[",_xlpm.txt)-1),_xlpm.nums,VALUE(_xlfn.TEXTSPLIT(_xlpm.inside,",")),_xlpm.mapped,_xlfn.XLOOKUP(_xlpm.nums,$X$2:$X$100,$Y$2:$Y$100),SUBSTITUTE(_xlpm.txt,"["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"]")),G18)</f>
        <v>Market–ready ZnO product with high purity [39]</v>
      </c>
      <c r="AG18" t="str" cm="1">
        <f t="array" ref="AG18">IFERROR(_xlfn.LET(_xlpm.txt,H18,_xlpm.inside,MID(_xlpm.txt,FIND("[",_xlpm.txt)+1,FIND("]",_xlpm.txt)-FIND("[",_xlpm.txt)-1),_xlpm.nums,VALUE(_xlfn.TEXTSPLIT(_xlpm.inside,",")),_xlpm.mapped,_xlfn.XLOOKUP(_xlpm.nums,$X$2:$X$100,$Y$2:$Y$100),SUBSTITUTE(_xlpm.txt,"["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"]")),H18)</f>
        <v>High–purity ZnO, Pb concentrates [51,39]</v>
      </c>
      <c r="AH18" t="str" cm="1">
        <f t="array" ref="AH18">IFERROR(_xlfn.LET(_xlpm.txt,I18,_xlpm.inside,MID(_xlpm.txt,FIND("[",_xlpm.txt)+1,FIND("]",_xlpm.txt)-FIND("[",_xlpm.txt)-1),_xlpm.nums,VALUE(_xlfn.TEXTSPLIT(_xlpm.inside,",")),_xlpm.mapped,_xlfn.XLOOKUP(_xlpm.nums,$X$2:$X$100,$Y$2:$Y$100),SUBSTITUTE(_xlpm.txt,"["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"]")),I18)</f>
        <v>Not applicable</v>
      </c>
      <c r="AI18" t="str" cm="1">
        <f t="array" ref="AI18">IFERROR(_xlfn.LET(_xlpm.txt,J18,_xlpm.inside,MID(_xlpm.txt,FIND("[",_xlpm.txt)+1,FIND("]",_xlpm.txt)-FIND("[",_xlpm.txt)-1),_xlpm.nums,VALUE(_xlfn.TEXTSPLIT(_xlpm.inside,",")),_xlpm.mapped,_xlfn.XLOOKUP(_xlpm.nums,$X$2:$X$100,$Y$2:$Y$100),SUBSTITUTE(_xlpm.txt,"["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"]")),J18)</f>
        <v>Not applicable</v>
      </c>
      <c r="AJ18" t="str" cm="1">
        <f t="array" ref="AJ18">IFERROR(_xlfn.LET(_xlpm.txt,K18,_xlpm.inside,MID(_xlpm.txt,FIND("[",_xlpm.txt)+1,FIND("]",_xlpm.txt)-FIND("[",_xlpm.txt)-1),_xlpm.nums,VALUE(_xlfn.TEXTSPLIT(_xlpm.inside,",")),_xlpm.mapped,_xlfn.XLOOKUP(_xlpm.nums,$X$2:$X$100,$Y$2:$Y$100),SUBSTITUTE(_xlpm.txt,"["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"]")),K18)</f>
        <v>Zn (highly enriched)
Pb, Cd
Halides (Cl, F) [39]</v>
      </c>
      <c r="AK18" t="str" cm="1">
        <f t="array" ref="AK18">IFERROR(_xlfn.LET(_xlpm.txt,L18,_xlpm.inside,MID(_xlpm.txt,FIND("[",_xlpm.txt)+1,FIND("]",_xlpm.txt)-FIND("[",_xlpm.txt)-1),_xlpm.nums,VALUE(_xlfn.TEXTSPLIT(_xlpm.inside,",")),_xlpm.mapped,_xlfn.XLOOKUP(_xlpm.nums,$X$2:$X$100,$Y$2:$Y$100),SUBSTITUTE(_xlpm.txt,"["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"]")),L18)</f>
        <v>Zincite (ZnO)
Halite (NaCl)
Sylvite (KCl)
Fluorite (CaF2) [51]</v>
      </c>
      <c r="AL18" t="str" cm="1">
        <f t="array" ref="AL18">IFERROR(_xlfn.LET(_xlpm.txt,M18,_xlpm.inside,MID(_xlpm.txt,FIND("[",_xlpm.txt)+1,FIND("]",_xlpm.txt)-FIND("[",_xlpm.txt)-1),_xlpm.nums,VALUE(_xlfn.TEXTSPLIT(_xlpm.inside,",")),_xlpm.mapped,_xlfn.XLOOKUP(_xlpm.nums,$X$2:$X$100,$Y$2:$Y$100),SUBSTITUTE(_xlpm.txt,"["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"]")),M18)</f>
        <v>Zn, Pb, Cd, Cl, F, Na, K, As [39,51]</v>
      </c>
      <c r="AM18" t="str" cm="1">
        <f t="array" ref="AM18">IFERROR(_xlfn.LET(_xlpm.txt,N18,_xlpm.inside,MID(_xlpm.txt,FIND("[",_xlpm.txt)+1,FIND("]",_xlpm.txt)-FIND("[",_xlpm.txt)-1),_xlpm.nums,VALUE(_xlfn.TEXTSPLIT(_xlpm.inside,",")),_xlpm.mapped,_xlfn.XLOOKUP(_xlpm.nums,$X$2:$X$100,$Y$2:$Y$100),SUBSTITUTE(_xlpm.txt,"["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"]")),N18)</f>
        <v>Solid state: crude ZnO fine powder or dust [51]</v>
      </c>
      <c r="AN18" t="str" cm="1">
        <f t="array" ref="AN18">IFERROR(_xlfn.LET(_xlpm.txt,O18,_xlpm.inside,MID(_xlpm.txt,FIND("[",_xlpm.txt)+1,FIND("]",_xlpm.txt)-FIND("[",_xlpm.txt)-1),_xlpm.nums,VALUE(_xlfn.TEXTSPLIT(_xlpm.inside,",")),_xlpm.mapped,_xlfn.XLOOKUP(_xlpm.nums,$X$2:$X$100,$Y$2:$Y$100),SUBSTITUTE(_xlpm.txt,"["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"]")),O18)</f>
        <v>250,000 t/year Zn [39]</v>
      </c>
      <c r="AO18" t="str" cm="1">
        <f t="array" ref="AO18">IFERROR(_xlfn.LET(_xlpm.txt,P18,_xlpm.inside,MID(_xlpm.txt,FIND("[",_xlpm.txt)+1,FIND("]",_xlpm.txt)-FIND("[",_xlpm.txt)-1),_xlpm.nums,VALUE(_xlfn.TEXTSPLIT(_xlpm.inside,",")),_xlpm.mapped,_xlfn.XLOOKUP(_xlpm.nums,$X$2:$X$100,$Y$2:$Y$100),SUBSTITUTE(_xlpm.txt,"["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"]")),P18)</f>
        <v>Alkaline: Crude ZnO–rich powder [51]</v>
      </c>
      <c r="AP18" t="str" cm="1">
        <f t="array" ref="AP18">IFERROR(_xlfn.LET(_xlpm.txt,Q18,_xlpm.inside,MID(_xlpm.txt,FIND("[",_xlpm.txt)+1,FIND("]",_xlpm.txt)-FIND("[",_xlpm.txt)-1),_xlpm.nums,VALUE(_xlfn.TEXTSPLIT(_xlpm.inside,",")),_xlpm.mapped,_xlfn.XLOOKUP(_xlpm.nums,$X$2:$X$100,$Y$2:$Y$100),SUBSTITUTE(_xlpm.txt,"["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"]")),Q18)</f>
        <v>Low: fine dry crude ZnO powder [51]</v>
      </c>
    </row>
    <row r="19" spans="1:42" ht="136" x14ac:dyDescent="0.2">
      <c r="A19" s="60" t="s">
        <v>228</v>
      </c>
      <c r="B19" s="10" t="s">
        <v>1217</v>
      </c>
      <c r="C19" s="10" t="s">
        <v>13</v>
      </c>
      <c r="D19" s="10" t="s">
        <v>1218</v>
      </c>
      <c r="E19" s="10" t="s">
        <v>1219</v>
      </c>
      <c r="F19" s="10" t="s">
        <v>1220</v>
      </c>
      <c r="G19" s="10" t="s">
        <v>1221</v>
      </c>
      <c r="H19" s="10" t="s">
        <v>1222</v>
      </c>
      <c r="I19" s="10" t="s">
        <v>1223</v>
      </c>
      <c r="J19" s="10" t="s">
        <v>1224</v>
      </c>
      <c r="K19" s="10" t="s">
        <v>1225</v>
      </c>
      <c r="L19" s="10" t="s">
        <v>1226</v>
      </c>
      <c r="M19" s="10" t="s">
        <v>1227</v>
      </c>
      <c r="N19" s="10" t="s">
        <v>1228</v>
      </c>
      <c r="O19" s="10" t="s">
        <v>1229</v>
      </c>
      <c r="P19" s="10" t="s">
        <v>1230</v>
      </c>
      <c r="Q19" s="10" t="s">
        <v>1231</v>
      </c>
      <c r="X19" s="36">
        <v>21</v>
      </c>
      <c r="Y19" s="63">
        <v>20</v>
      </c>
      <c r="AA19" t="str" cm="1">
        <f t="array" ref="AA19">IFERROR(_xlfn.LET(_xlpm.txt,B19,_xlpm.inside,MID(_xlpm.txt,FIND("[",_xlpm.txt)+1,FIND("]",_xlpm.txt)-FIND("[",_xlpm.txt)-1),_xlpm.nums,VALUE(_xlfn.TEXTSPLIT(_xlpm.inside,",")),_xlpm.mapped,_xlfn.XLOOKUP(_xlpm.nums,$X$2:$X$100,$Y$2:$Y$100),SUBSTITUTE(_xlpm.txt,"["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"]")),B19)</f>
        <v>EAF dust and Zn–bearing scraps [51,39]</v>
      </c>
      <c r="AB19" t="str" cm="1">
        <f t="array" ref="AB19">IFERROR(_xlfn.LET(_xlpm.txt,C19,_xlpm.inside,MID(_xlpm.txt,FIND("[",_xlpm.txt)+1,FIND("]",_xlpm.txt)-FIND("[",_xlpm.txt)-1),_xlpm.nums,VALUE(_xlfn.TEXTSPLIT(_xlpm.inside,",")),_xlpm.mapped,_xlfn.XLOOKUP(_xlpm.nums,$X$2:$X$100,$Y$2:$Y$100),SUBSTITUTE(_xlpm.txt,"["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"]")),C19)</f>
        <v>Waelz slag</v>
      </c>
      <c r="AC19" t="str" cm="1">
        <f t="array" ref="AC19">IFERROR(_xlfn.LET(_xlpm.txt,D19,_xlpm.inside,MID(_xlpm.txt,FIND("[",_xlpm.txt)+1,FIND("]",_xlpm.txt)-FIND("[",_xlpm.txt)-1),_xlpm.nums,VALUE(_xlfn.TEXTSPLIT(_xlpm.inside,",")),_xlpm.mapped,_xlfn.XLOOKUP(_xlpm.nums,$X$2:$X$100,$Y$2:$Y$100),SUBSTITUTE(_xlpm.txt,"["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"]")),D19)</f>
        <v>Waelz kiln treatment – non–volatile slag [39,51]</v>
      </c>
      <c r="AD19" t="str" cm="1">
        <f t="array" ref="AD19">IFERROR(_xlfn.LET(_xlpm.txt,E19,_xlpm.inside,MID(_xlpm.txt,FIND("[",_xlpm.txt)+1,FIND("]",_xlpm.txt)-FIND("[",_xlpm.txt)-1),_xlpm.nums,VALUE(_xlfn.TEXTSPLIT(_xlpm.inside,",")),_xlpm.mapped,_xlfn.XLOOKUP(_xlpm.nums,$X$2:$X$100,$Y$2:$Y$100),SUBSTITUTE(_xlpm.txt,"["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"]")),E19)</f>
        <v>Oxidation roasting to convert unstable sulfide or oxide phases into stable anhydrite or matrix phases [39]
Carbothermic reduction for Fe or Mn recovery from slag matrix [39]
Stabilisation for secondary construction aggregate after detoxification [30]</v>
      </c>
      <c r="AE19" t="str" cm="1">
        <f t="array" ref="AE19">IFERROR(_xlfn.LET(_xlpm.txt,F19,_xlpm.inside,MID(_xlpm.txt,FIND("[",_xlpm.txt)+1,FIND("]",_xlpm.txt)-FIND("[",_xlpm.txt)-1),_xlpm.nums,VALUE(_xlfn.TEXTSPLIT(_xlpm.inside,",")),_xlpm.mapped,_xlfn.XLOOKUP(_xlpm.nums,$X$2:$X$100,$Y$2:$Y$100),SUBSTITUTE(_xlpm.txt,"["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"]")),F19)</f>
        <v>Heave metal leachability, requires stabilisation [39]</v>
      </c>
      <c r="AF19" t="str" cm="1">
        <f t="array" ref="AF19">IFERROR(_xlfn.LET(_xlpm.txt,G19,_xlpm.inside,MID(_xlpm.txt,FIND("[",_xlpm.txt)+1,FIND("]",_xlpm.txt)-FIND("[",_xlpm.txt)-1),_xlpm.nums,VALUE(_xlfn.TEXTSPLIT(_xlpm.inside,",")),_xlpm.mapped,_xlfn.XLOOKUP(_xlpm.nums,$X$2:$X$100,$Y$2:$Y$100),SUBSTITUTE(_xlpm.txt,"["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"]")),G19)</f>
        <v>Economic driver due to Mn and Fe recovery [39]</v>
      </c>
      <c r="AG19" t="str" cm="1">
        <f t="array" ref="AG19">IFERROR(_xlfn.LET(_xlpm.txt,H19,_xlpm.inside,MID(_xlpm.txt,FIND("[",_xlpm.txt)+1,FIND("]",_xlpm.txt)-FIND("[",_xlpm.txt)-1),_xlpm.nums,VALUE(_xlfn.TEXTSPLIT(_xlpm.inside,",")),_xlpm.mapped,_xlfn.XLOOKUP(_xlpm.nums,$X$2:$X$100,$Y$2:$Y$100),SUBSTITUTE(_xlpm.txt,"["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"]")),H19)</f>
        <v>Pig iron, Zn dust, secondary aggregates [39]</v>
      </c>
      <c r="AH19" t="str" cm="1">
        <f t="array" ref="AH19">IFERROR(_xlfn.LET(_xlpm.txt,I19,_xlpm.inside,MID(_xlpm.txt,FIND("[",_xlpm.txt)+1,FIND("]",_xlpm.txt)-FIND("[",_xlpm.txt)-1),_xlpm.nums,VALUE(_xlfn.TEXTSPLIT(_xlpm.inside,",")),_xlpm.mapped,_xlfn.XLOOKUP(_xlpm.nums,$X$2:$X$100,$Y$2:$Y$100),SUBSTITUTE(_xlpm.txt,"["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"]")),I19)</f>
        <v>V, Mn (battery grade) [39]</v>
      </c>
      <c r="AI19" t="str" cm="1">
        <f t="array" ref="AI19">IFERROR(_xlfn.LET(_xlpm.txt,J19,_xlpm.inside,MID(_xlpm.txt,FIND("[",_xlpm.txt)+1,FIND("]",_xlpm.txt)-FIND("[",_xlpm.txt)-1),_xlpm.nums,VALUE(_xlfn.TEXTSPLIT(_xlpm.inside,",")),_xlpm.mapped,_xlfn.XLOOKUP(_xlpm.nums,$X$2:$X$100,$Y$2:$Y$100),SUBSTITUTE(_xlpm.txt,"["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"]")),J19)</f>
        <v>Mn (battery grade) [39]</v>
      </c>
      <c r="AJ19" t="str" cm="1">
        <f t="array" ref="AJ19">IFERROR(_xlfn.LET(_xlpm.txt,K19,_xlpm.inside,MID(_xlpm.txt,FIND("[",_xlpm.txt)+1,FIND("]",_xlpm.txt)-FIND("[",_xlpm.txt)-1),_xlpm.nums,VALUE(_xlfn.TEXTSPLIT(_xlpm.inside,",")),_xlpm.mapped,_xlfn.XLOOKUP(_xlpm.nums,$X$2:$X$100,$Y$2:$Y$100),SUBSTITUTE(_xlpm.txt,"["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"]")),K19)</f>
        <v>Fe (46.35%)
Ca (14.34%)
C (8.09%)
Mn (7.70%)
Si (5.98%)
Zn (3.64%) [39]</v>
      </c>
      <c r="AK19" t="str" cm="1">
        <f t="array" ref="AK19">IFERROR(_xlfn.LET(_xlpm.txt,L19,_xlpm.inside,MID(_xlpm.txt,FIND("[",_xlpm.txt)+1,FIND("]",_xlpm.txt)-FIND("[",_xlpm.txt)-1),_xlpm.nums,VALUE(_xlfn.TEXTSPLIT(_xlpm.inside,",")),_xlpm.mapped,_xlfn.XLOOKUP(_xlpm.nums,$X$2:$X$100,$Y$2:$Y$100),SUBSTITUTE(_xlpm.txt,"["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"]")),L19)</f>
        <v>Native iron (Fe)
Wüstite (FeO)
Coke (or graphite)
Olivine [39]</v>
      </c>
      <c r="AL19" t="str" cm="1">
        <f t="array" ref="AL19">IFERROR(_xlfn.LET(_xlpm.txt,M19,_xlpm.inside,MID(_xlpm.txt,FIND("[",_xlpm.txt)+1,FIND("]",_xlpm.txt)-FIND("[",_xlpm.txt)-1),_xlpm.nums,VALUE(_xlfn.TEXTSPLIT(_xlpm.inside,",")),_xlpm.mapped,_xlfn.XLOOKUP(_xlpm.nums,$X$2:$X$100,$Y$2:$Y$100),SUBSTITUTE(_xlpm.txt,"["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"]")),M19)</f>
        <v>Fe, Ca, C, Mn, Si, Zn, Mg, Al, S, As, Cd, Cr, Cu, Mo, Ni, Pb, V [39]</v>
      </c>
      <c r="AM19" t="str" cm="1">
        <f t="array" ref="AM19">IFERROR(_xlfn.LET(_xlpm.txt,N19,_xlpm.inside,MID(_xlpm.txt,FIND("[",_xlpm.txt)+1,FIND("]",_xlpm.txt)-FIND("[",_xlpm.txt)-1),_xlpm.nums,VALUE(_xlfn.TEXTSPLIT(_xlpm.inside,",")),_xlpm.mapped,_xlfn.XLOOKUP(_xlpm.nums,$X$2:$X$100,$Y$2:$Y$100),SUBSTITUTE(_xlpm.txt,"["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"]")),N19)</f>
        <v>Solid state: granular or stony clinker [39]</v>
      </c>
      <c r="AN19" t="str" cm="1">
        <f t="array" ref="AN19">IFERROR(_xlfn.LET(_xlpm.txt,O19,_xlpm.inside,MID(_xlpm.txt,FIND("[",_xlpm.txt)+1,FIND("]",_xlpm.txt)-FIND("[",_xlpm.txt)-1),_xlpm.nums,VALUE(_xlfn.TEXTSPLIT(_xlpm.inside,",")),_xlpm.mapped,_xlfn.XLOOKUP(_xlpm.nums,$X$2:$X$100,$Y$2:$Y$100),SUBSTITUTE(_xlpm.txt,"["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"]")),O19)</f>
        <v>~800,000 tons/year in Europe [39]</v>
      </c>
      <c r="AO19" t="str" cm="1">
        <f t="array" ref="AO19">IFERROR(_xlfn.LET(_xlpm.txt,P19,_xlpm.inside,MID(_xlpm.txt,FIND("[",_xlpm.txt)+1,FIND("]",_xlpm.txt)-FIND("[",_xlpm.txt)-1),_xlpm.nums,VALUE(_xlfn.TEXTSPLIT(_xlpm.inside,",")),_xlpm.mapped,_xlfn.XLOOKUP(_xlpm.nums,$X$2:$X$100,$Y$2:$Y$100),SUBSTITUTE(_xlpm.txt,"["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"]")),P19)</f>
        <v>5.60: pH of TCLP extract or leachate [39]</v>
      </c>
      <c r="AP19" t="str" cm="1">
        <f t="array" ref="AP19">IFERROR(_xlfn.LET(_xlpm.txt,Q19,_xlpm.inside,MID(_xlpm.txt,FIND("[",_xlpm.txt)+1,FIND("]",_xlpm.txt)-FIND("[",_xlpm.txt)-1),_xlpm.nums,VALUE(_xlfn.TEXTSPLIT(_xlpm.inside,",")),_xlpm.mapped,_xlfn.XLOOKUP(_xlpm.nums,$X$2:$X$100,$Y$2:$Y$100),SUBSTITUTE(_xlpm.txt,"["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"]")),Q19)</f>
        <v>Low: solid clinker or stony residue [39]</v>
      </c>
    </row>
    <row r="20" spans="1:42" ht="255" x14ac:dyDescent="0.2">
      <c r="A20" s="11" t="s">
        <v>14</v>
      </c>
      <c r="B20" s="12" t="s">
        <v>1232</v>
      </c>
      <c r="C20" s="12" t="s">
        <v>15</v>
      </c>
      <c r="D20" s="12" t="s">
        <v>1233</v>
      </c>
      <c r="E20" s="12" t="s">
        <v>1234</v>
      </c>
      <c r="F20" s="12" t="s">
        <v>1235</v>
      </c>
      <c r="G20" s="12" t="s">
        <v>1236</v>
      </c>
      <c r="H20" s="12" t="s">
        <v>1237</v>
      </c>
      <c r="I20" s="12" t="s">
        <v>1238</v>
      </c>
      <c r="J20" s="12" t="s">
        <v>1239</v>
      </c>
      <c r="K20" s="12" t="s">
        <v>1240</v>
      </c>
      <c r="L20" s="12" t="s">
        <v>1241</v>
      </c>
      <c r="M20" s="12" t="s">
        <v>1242</v>
      </c>
      <c r="N20" s="12" t="s">
        <v>1243</v>
      </c>
      <c r="O20" s="12" t="s">
        <v>1244</v>
      </c>
      <c r="P20" s="12" t="s">
        <v>1245</v>
      </c>
      <c r="Q20" s="12" t="s">
        <v>1246</v>
      </c>
      <c r="X20" s="36">
        <v>22</v>
      </c>
      <c r="Y20" s="63">
        <v>41</v>
      </c>
      <c r="AA20" t="str" cm="1">
        <f t="array" ref="AA20">IFERROR(_xlfn.LET(_xlpm.txt,B20,_xlpm.inside,MID(_xlpm.txt,FIND("[",_xlpm.txt)+1,FIND("]",_xlpm.txt)-FIND("[",_xlpm.txt)-1),_xlpm.nums,VALUE(_xlfn.TEXTSPLIT(_xlpm.inside,",")),_xlpm.mapped,_xlfn.XLOOKUP(_xlpm.nums,$X$2:$X$100,$Y$2:$Y$100),SUBSTITUTE(_xlpm.txt,"["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"]")),B20)</f>
        <v>Bauxite (Al(OH)3) and impurities [16,32]</v>
      </c>
      <c r="AB20" t="str" cm="1">
        <f t="array" ref="AB20">IFERROR(_xlfn.LET(_xlpm.txt,C20,_xlpm.inside,MID(_xlpm.txt,FIND("[",_xlpm.txt)+1,FIND("]",_xlpm.txt)-FIND("[",_xlpm.txt)-1),_xlpm.nums,VALUE(_xlfn.TEXTSPLIT(_xlpm.inside,",")),_xlpm.mapped,_xlfn.XLOOKUP(_xlpm.nums,$X$2:$X$100,$Y$2:$Y$100),SUBSTITUTE(_xlpm.txt,"["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"]")),C20)</f>
        <v>Red mud (bauxite residues)</v>
      </c>
      <c r="AC20" t="str" cm="1">
        <f t="array" ref="AC20">IFERROR(_xlfn.LET(_xlpm.txt,D20,_xlpm.inside,MID(_xlpm.txt,FIND("[",_xlpm.txt)+1,FIND("]",_xlpm.txt)-FIND("[",_xlpm.txt)-1),_xlpm.nums,VALUE(_xlfn.TEXTSPLIT(_xlpm.inside,",")),_xlpm.mapped,_xlfn.XLOOKUP(_xlpm.nums,$X$2:$X$100,$Y$2:$Y$100),SUBSTITUTE(_xlpm.txt,"["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"]")),D20)</f>
        <v>Alumina refining (Bayer's process) [48,3,10,21]</v>
      </c>
      <c r="AD20" t="str" cm="1">
        <f t="array" ref="AD20">IFERROR(_xlfn.LET(_xlpm.txt,E20,_xlpm.inside,MID(_xlpm.txt,FIND("[",_xlpm.txt)+1,FIND("]",_xlpm.txt)-FIND("[",_xlpm.txt)-1),_xlpm.nums,VALUE(_xlfn.TEXTSPLIT(_xlpm.inside,",")),_xlpm.mapped,_xlfn.XLOOKUP(_xlpm.nums,$X$2:$X$100,$Y$2:$Y$100),SUBSTITUTE(_xlpm.txt,"["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"]")),E20)</f>
        <v>High–temperature reduction (roasting) for converting Fe and Ti bearing minerals into recoverable phases [48]
Hydrometallurgical leaching for selective extraction of Fe, Al, Ti, Sc and REEs [45, 28]
Magnetic separation to recover magnetite formed during reduction processes [28]
Accelerated carbonation to reduce alkalinity and stabilises reactive species [48]
Geopolymerisation to transform silicate or aluminate phases into cementitious binders [45]</v>
      </c>
      <c r="AE20" t="str" cm="1">
        <f t="array" ref="AE20">IFERROR(_xlfn.LET(_xlpm.txt,F20,_xlpm.inside,MID(_xlpm.txt,FIND("[",_xlpm.txt)+1,FIND("]",_xlpm.txt)-FIND("[",_xlpm.txt)-1),_xlpm.nums,VALUE(_xlfn.TEXTSPLIT(_xlpm.inside,",")),_xlpm.mapped,_xlfn.XLOOKUP(_xlpm.nums,$X$2:$X$100,$Y$2:$Y$100),SUBSTITUTE(_xlpm.txt,"["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"]")),F20)</f>
        <v>High alkalinity, large stockpiles, variable composition [21,3]</v>
      </c>
      <c r="AF20" t="str" cm="1">
        <f t="array" ref="AF20">IFERROR(_xlfn.LET(_xlpm.txt,G20,_xlpm.inside,MID(_xlpm.txt,FIND("[",_xlpm.txt)+1,FIND("]",_xlpm.txt)-FIND("[",_xlpm.txt)-1),_xlpm.nums,VALUE(_xlfn.TEXTSPLIT(_xlpm.inside,",")),_xlpm.mapped,_xlfn.XLOOKUP(_xlpm.nums,$X$2:$X$100,$Y$2:$Y$100),SUBSTITUTE(_xlpm.txt,"["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"]")),G20)</f>
        <v>Major economic opportunity represented by REEs, Sc, Ti [48,3,29]</v>
      </c>
      <c r="AG20" t="str" cm="1">
        <f t="array" ref="AG20">IFERROR(_xlfn.LET(_xlpm.txt,H20,_xlpm.inside,MID(_xlpm.txt,FIND("[",_xlpm.txt)+1,FIND("]",_xlpm.txt)-FIND("[",_xlpm.txt)-1),_xlpm.nums,VALUE(_xlfn.TEXTSPLIT(_xlpm.inside,",")),_xlpm.mapped,_xlfn.XLOOKUP(_xlpm.nums,$X$2:$X$100,$Y$2:$Y$100),SUBSTITUTE(_xlpm.txt,"["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"]")),H20)</f>
        <v>Pig iron, alumina, TiO2, Sc or REE concentrates, SCM, bricks or tiles, pigments, x–ray shielding tiles [21,20]</v>
      </c>
      <c r="AH20" t="str" cm="1">
        <f t="array" ref="AH20">IFERROR(_xlfn.LET(_xlpm.txt,I20,_xlpm.inside,MID(_xlpm.txt,FIND("[",_xlpm.txt)+1,FIND("]",_xlpm.txt)-FIND("[",_xlpm.txt)-1),_xlpm.nums,VALUE(_xlfn.TEXTSPLIT(_xlpm.inside,",")),_xlpm.mapped,_xlfn.XLOOKUP(_xlpm.nums,$X$2:$X$100,$Y$2:$Y$100),SUBSTITUTE(_xlpm.txt,"["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"]")),I20)</f>
        <v>Sc, Al, V, Ta, REEs – LREEs and HREEs (La, Ce, Nd) [21,3]</v>
      </c>
      <c r="AI20" t="str" cm="1">
        <f t="array" ref="AI20">IFERROR(_xlfn.LET(_xlpm.txt,J20,_xlpm.inside,MID(_xlpm.txt,FIND("[",_xlpm.txt)+1,FIND("]",_xlpm.txt)-FIND("[",_xlpm.txt)-1),_xlpm.nums,VALUE(_xlfn.TEXTSPLIT(_xlpm.inside,",")),_xlpm.mapped,_xlfn.XLOOKUP(_xlpm.nums,$X$2:$X$100,$Y$2:$Y$100),SUBSTITUTE(_xlpm.txt,"["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"]")),J20)</f>
        <v>Ti metal, REES for magnets (Nd, Dy, Pr, Ce, Tb, Gd, Sm) [21]</v>
      </c>
      <c r="AJ20" t="str" cm="1">
        <f t="array" ref="AJ20">IFERROR(_xlfn.LET(_xlpm.txt,K20,_xlpm.inside,MID(_xlpm.txt,FIND("[",_xlpm.txt)+1,FIND("]",_xlpm.txt)-FIND("[",_xlpm.txt)-1),_xlpm.nums,VALUE(_xlfn.TEXTSPLIT(_xlpm.inside,",")),_xlpm.mapped,_xlfn.XLOOKUP(_xlpm.nums,$X$2:$X$100,$Y$2:$Y$100),SUBSTITUTE(_xlpm.txt,"["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"]")),K20)</f>
        <v>Fe2​O3​ (23–60%)
Al2O3 (12–30%)
SiO2​ (5–17%)
TiO2​ (1–11%)
Na2​O (1–10%) [16]</v>
      </c>
      <c r="AK20" t="str" cm="1">
        <f t="array" ref="AK20">IFERROR(_xlfn.LET(_xlpm.txt,L20,_xlpm.inside,MID(_xlpm.txt,FIND("[",_xlpm.txt)+1,FIND("]",_xlpm.txt)-FIND("[",_xlpm.txt)-1),_xlpm.nums,VALUE(_xlfn.TEXTSPLIT(_xlpm.inside,",")),_xlpm.mapped,_xlfn.XLOOKUP(_xlpm.nums,$X$2:$X$100,$Y$2:$Y$100),SUBSTITUTE(_xlpm.txt,"["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"]")),L20)</f>
        <v>Hematite (Fe2​O3​)
Goethite (FeOOH)
Cancrinite (Na6​Ca2​Al6​Si6​O24​(CO3​)2​)
Gibbsite (Al(OH)3)
Diaspore
Boehmite
Perovskite (CaTiO3) [10,3]</v>
      </c>
      <c r="AL20" t="str" cm="1">
        <f t="array" ref="AL20">IFERROR(_xlfn.LET(_xlpm.txt,M20,_xlpm.inside,MID(_xlpm.txt,FIND("[",_xlpm.txt)+1,FIND("]",_xlpm.txt)-FIND("[",_xlpm.txt)-1),_xlpm.nums,VALUE(_xlfn.TEXTSPLIT(_xlpm.inside,",")),_xlpm.mapped,_xlfn.XLOOKUP(_xlpm.nums,$X$2:$X$100,$Y$2:$Y$100),SUBSTITUTE(_xlpm.txt,"["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"]")),M20)</f>
        <v>Fe, Al, Ca, Si, Ti, Na, Sc, V, Ga, Th, U, REEs, Mg, Mn, P, S, C [29,3]</v>
      </c>
      <c r="AM20" t="str" cm="1">
        <f t="array" ref="AM20">IFERROR(_xlfn.LET(_xlpm.txt,N20,_xlpm.inside,MID(_xlpm.txt,FIND("[",_xlpm.txt)+1,FIND("]",_xlpm.txt)-FIND("[",_xlpm.txt)-1),_xlpm.nums,VALUE(_xlfn.TEXTSPLIT(_xlpm.inside,",")),_xlpm.mapped,_xlfn.XLOOKUP(_xlpm.nums,$X$2:$X$100,$Y$2:$Y$100),SUBSTITUTE(_xlpm.txt,"["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"]")),N20)</f>
        <v>Wet solid or sludge state: highly alkaline mud or slurry, dry stacked when thickened [21]</v>
      </c>
      <c r="AN20" t="str" cm="1">
        <f t="array" ref="AN20">IFERROR(_xlfn.LET(_xlpm.txt,O20,_xlpm.inside,MID(_xlpm.txt,FIND("[",_xlpm.txt)+1,FIND("]",_xlpm.txt)-FIND("[",_xlpm.txt)-1),_xlpm.nums,VALUE(_xlfn.TEXTSPLIT(_xlpm.inside,",")),_xlpm.mapped,_xlfn.XLOOKUP(_xlpm.nums,$X$2:$X$100,$Y$2:$Y$100),SUBSTITUTE(_xlpm.txt,"["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"]")),O20)</f>
        <v>1.0–1.6 tonnes / tonne of alumina production [48]
~5 Mt/year global aluminium dross [36]</v>
      </c>
      <c r="AO20" t="str" cm="1">
        <f t="array" ref="AO20">IFERROR(_xlfn.LET(_xlpm.txt,P20,_xlpm.inside,MID(_xlpm.txt,FIND("[",_xlpm.txt)+1,FIND("]",_xlpm.txt)-FIND("[",_xlpm.txt)-1),_xlpm.nums,VALUE(_xlfn.TEXTSPLIT(_xlpm.inside,",")),_xlpm.mapped,_xlfn.XLOOKUP(_xlpm.nums,$X$2:$X$100,$Y$2:$Y$100),SUBSTITUTE(_xlpm.txt,"["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"]")),P20)</f>
        <v>9.0–13.0: Extremely alkaline [21], neutralized using seawater neutralization or carbon dioxide sequestration for safe discharge or construction purposes [36]</v>
      </c>
      <c r="AP20" t="str" cm="1">
        <f t="array" ref="AP20">IFERROR(_xlfn.LET(_xlpm.txt,Q20,_xlpm.inside,MID(_xlpm.txt,FIND("[",_xlpm.txt)+1,FIND("]",_xlpm.txt)-FIND("[",_xlpm.txt)-1),_xlpm.nums,VALUE(_xlfn.TEXTSPLIT(_xlpm.inside,",")),_xlpm.mapped,_xlfn.XLOOKUP(_xlpm.nums,$X$2:$X$100,$Y$2:$Y$100),SUBSTITUTE(_xlpm.txt,"["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"]")),Q20)</f>
        <v>7.5 wt%: residual moisture present in filter–pressed cake
40.0–60.0%: slurry state [20]</v>
      </c>
    </row>
    <row r="21" spans="1:42" ht="153" x14ac:dyDescent="0.2">
      <c r="A21" s="13" t="s">
        <v>16</v>
      </c>
      <c r="B21" s="14" t="s">
        <v>1247</v>
      </c>
      <c r="C21" s="14" t="s">
        <v>973</v>
      </c>
      <c r="D21" s="14" t="s">
        <v>1248</v>
      </c>
      <c r="E21" s="14" t="s">
        <v>1249</v>
      </c>
      <c r="F21" s="14" t="s">
        <v>586</v>
      </c>
      <c r="G21" s="14" t="s">
        <v>1250</v>
      </c>
      <c r="H21" s="14" t="s">
        <v>1251</v>
      </c>
      <c r="I21" s="14" t="s">
        <v>1252</v>
      </c>
      <c r="J21" s="14" t="s">
        <v>1253</v>
      </c>
      <c r="K21" s="14" t="s">
        <v>1254</v>
      </c>
      <c r="L21" s="14" t="s">
        <v>1255</v>
      </c>
      <c r="M21" s="14" t="s">
        <v>1256</v>
      </c>
      <c r="N21" s="14" t="s">
        <v>1257</v>
      </c>
      <c r="O21" s="14" t="s">
        <v>235</v>
      </c>
      <c r="P21" s="14" t="s">
        <v>1258</v>
      </c>
      <c r="Q21" s="14" t="s">
        <v>1259</v>
      </c>
      <c r="X21" s="36">
        <v>23</v>
      </c>
      <c r="Y21" s="63">
        <v>4</v>
      </c>
      <c r="AA21" t="str" cm="1">
        <f t="array" ref="AA21">IFERROR(_xlfn.LET(_xlpm.txt,B21,_xlpm.inside,MID(_xlpm.txt,FIND("[",_xlpm.txt)+1,FIND("]",_xlpm.txt)-FIND("[",_xlpm.txt)-1),_xlpm.nums,VALUE(_xlfn.TEXTSPLIT(_xlpm.inside,",")),_xlpm.mapped,_xlfn.XLOOKUP(_xlpm.nums,$X$2:$X$100,$Y$2:$Y$100),SUBSTITUTE(_xlpm.txt,"["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"]")),B21)</f>
        <v>Laterites ore (nickeliferous limonite), Pentlandite ((Ni,Fe)9S8) [54,40]</v>
      </c>
      <c r="AB21" t="str" cm="1">
        <f t="array" ref="AB21">IFERROR(_xlfn.LET(_xlpm.txt,C21,_xlpm.inside,MID(_xlpm.txt,FIND("[",_xlpm.txt)+1,FIND("]",_xlpm.txt)-FIND("[",_xlpm.txt)-1),_xlpm.nums,VALUE(_xlfn.TEXTSPLIT(_xlpm.inside,",")),_xlpm.mapped,_xlfn.XLOOKUP(_xlpm.nums,$X$2:$X$100,$Y$2:$Y$100),SUBSTITUTE(_xlpm.txt,"["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"]")),C21)</f>
        <v>High–Pressure Acid Leaching (HPAL) tailings or Fe–oxyhydroxide residues</v>
      </c>
      <c r="AC21" t="str" cm="1">
        <f t="array" ref="AC21">IFERROR(_xlfn.LET(_xlpm.txt,D21,_xlpm.inside,MID(_xlpm.txt,FIND("[",_xlpm.txt)+1,FIND("]",_xlpm.txt)-FIND("[",_xlpm.txt)-1),_xlpm.nums,VALUE(_xlfn.TEXTSPLIT(_xlpm.inside,",")),_xlpm.mapped,_xlfn.XLOOKUP(_xlpm.nums,$X$2:$X$100,$Y$2:$Y$100),SUBSTITUTE(_xlpm.txt,"["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"]")),D21)</f>
        <v>Nickel laterite – High pressure acid leaching [54,40]</v>
      </c>
      <c r="AD21" t="str" cm="1">
        <f t="array" ref="AD21">IFERROR(_xlfn.LET(_xlpm.txt,E21,_xlpm.inside,MID(_xlpm.txt,FIND("[",_xlpm.txt)+1,FIND("]",_xlpm.txt)-FIND("[",_xlpm.txt)-1),_xlpm.nums,VALUE(_xlfn.TEXTSPLIT(_xlpm.inside,",")),_xlpm.mapped,_xlfn.XLOOKUP(_xlpm.nums,$X$2:$X$100,$Y$2:$Y$100),SUBSTITUTE(_xlpm.txt,"["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"]")),E21)</f>
        <v>Selective acid or alkali leaching to recover Ni, Co, Sc, and REEs from Fe–oxyhydroxide matrix [54]
Neutralization or precipitation to stabilise dissolved metals and reduce process acidity [21]
Geopolymer formation (alkali activation) for construction applications [21]</v>
      </c>
      <c r="AE21" t="str" cm="1">
        <f t="array" ref="AE21">IFERROR(_xlfn.LET(_xlpm.txt,F21,_xlpm.inside,MID(_xlpm.txt,FIND("[",_xlpm.txt)+1,FIND("]",_xlpm.txt)-FIND("[",_xlpm.txt)-1),_xlpm.nums,VALUE(_xlfn.TEXTSPLIT(_xlpm.inside,",")),_xlpm.mapped,_xlfn.XLOOKUP(_xlpm.nums,$X$2:$X$100,$Y$2:$Y$100),SUBSTITUTE(_xlpm.txt,"["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"]")),F21)</f>
        <v>Acid–consuming gangue [ geochemical instability [49]</v>
      </c>
      <c r="AF21" t="str" cm="1">
        <f t="array" ref="AF21">IFERROR(_xlfn.LET(_xlpm.txt,G21,_xlpm.inside,MID(_xlpm.txt,FIND("[",_xlpm.txt)+1,FIND("]",_xlpm.txt)-FIND("[",_xlpm.txt)-1),_xlpm.nums,VALUE(_xlfn.TEXTSPLIT(_xlpm.inside,",")),_xlpm.mapped,_xlfn.XLOOKUP(_xlpm.nums,$X$2:$X$100,$Y$2:$Y$100),SUBSTITUTE(_xlpm.txt,"["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"]")),G21)</f>
        <v>Sc value dominates the economies [54,29]</v>
      </c>
      <c r="AG21" t="str" cm="1">
        <f t="array" ref="AG21">IFERROR(_xlfn.LET(_xlpm.txt,H21,_xlpm.inside,MID(_xlpm.txt,FIND("[",_xlpm.txt)+1,FIND("]",_xlpm.txt)-FIND("[",_xlpm.txt)-1),_xlpm.nums,VALUE(_xlfn.TEXTSPLIT(_xlpm.inside,",")),_xlpm.mapped,_xlfn.XLOOKUP(_xlpm.nums,$X$2:$X$100,$Y$2:$Y$100),SUBSTITUTE(_xlpm.txt,"["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"]")),H21)</f>
        <v>Sc oxide, ferronickel alloy, geopolymer binders, road base, tiles [29,54]</v>
      </c>
      <c r="AH21" t="str" cm="1">
        <f t="array" ref="AH21">IFERROR(_xlfn.LET(_xlpm.txt,I21,_xlpm.inside,MID(_xlpm.txt,FIND("[",_xlpm.txt)+1,FIND("]",_xlpm.txt)-FIND("[",_xlpm.txt)-1),_xlpm.nums,VALUE(_xlfn.TEXTSPLIT(_xlpm.inside,",")),_xlpm.mapped,_xlfn.XLOOKUP(_xlpm.nums,$X$2:$X$100,$Y$2:$Y$100),SUBSTITUTE(_xlpm.txt,"["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"]")),I21)</f>
        <v>Sc, V [29]</v>
      </c>
      <c r="AI21" t="str" cm="1">
        <f t="array" ref="AI21">IFERROR(_xlfn.LET(_xlpm.txt,J21,_xlpm.inside,MID(_xlpm.txt,FIND("[",_xlpm.txt)+1,FIND("]",_xlpm.txt)-FIND("[",_xlpm.txt)-1),_xlpm.nums,VALUE(_xlfn.TEXTSPLIT(_xlpm.inside,",")),_xlpm.mapped,_xlfn.XLOOKUP(_xlpm.nums,$X$2:$X$100,$Y$2:$Y$100),SUBSTITUTE(_xlpm.txt,"["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"]")),J21)</f>
        <v>Ni (battery grade), Co [54]</v>
      </c>
      <c r="AJ21" t="str" cm="1">
        <f t="array" ref="AJ21">IFERROR(_xlfn.LET(_xlpm.txt,K21,_xlpm.inside,MID(_xlpm.txt,FIND("[",_xlpm.txt)+1,FIND("]",_xlpm.txt)-FIND("[",_xlpm.txt)-1),_xlpm.nums,VALUE(_xlfn.TEXTSPLIT(_xlpm.inside,",")),_xlpm.mapped,_xlfn.XLOOKUP(_xlpm.nums,$X$2:$X$100,$Y$2:$Y$100),SUBSTITUTE(_xlpm.txt,"["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"]")),K21)</f>
        <v>Iron–oxyhydroxides (Fe ~41.9%) with residual Mg (~1.8%), Al (~2.2%), Ni (~1.2%) and Co (traces) [4]</v>
      </c>
      <c r="AK21" t="str" cm="1">
        <f t="array" ref="AK21">IFERROR(_xlfn.LET(_xlpm.txt,L21,_xlpm.inside,MID(_xlpm.txt,FIND("[",_xlpm.txt)+1,FIND("]",_xlpm.txt)-FIND("[",_xlpm.txt)-1),_xlpm.nums,VALUE(_xlfn.TEXTSPLIT(_xlpm.inside,",")),_xlpm.mapped,_xlfn.XLOOKUP(_xlpm.nums,$X$2:$X$100,$Y$2:$Y$100),SUBSTITUTE(_xlpm.txt,"["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"]")),L21)</f>
        <v>Goethite (FeO(OH))
Hematite (Fe2O3)
Talc
Birnessite
Bayerite (Al(OH)3) [4]</v>
      </c>
      <c r="AL21" t="str" cm="1">
        <f t="array" ref="AL21">IFERROR(_xlfn.LET(_xlpm.txt,M21,_xlpm.inside,MID(_xlpm.txt,FIND("[",_xlpm.txt)+1,FIND("]",_xlpm.txt)-FIND("[",_xlpm.txt)-1),_xlpm.nums,VALUE(_xlfn.TEXTSPLIT(_xlpm.inside,",")),_xlpm.mapped,_xlfn.XLOOKUP(_xlpm.nums,$X$2:$X$100,$Y$2:$Y$100),SUBSTITUTE(_xlpm.txt,"["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"]")),M21)</f>
        <v>Fe, Mg, Al, Ni, Co, Mn, Cr, Si, O [4]</v>
      </c>
      <c r="AM21" t="str" cm="1">
        <f t="array" ref="AM21">IFERROR(_xlfn.LET(_xlpm.txt,N21,_xlpm.inside,MID(_xlpm.txt,FIND("[",_xlpm.txt)+1,FIND("]",_xlpm.txt)-FIND("[",_xlpm.txt)-1),_xlpm.nums,VALUE(_xlfn.TEXTSPLIT(_xlpm.inside,",")),_xlpm.mapped,_xlfn.XLOOKUP(_xlpm.nums,$X$2:$X$100,$Y$2:$Y$100),SUBSTITUTE(_xlpm.txt,"["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"]")),N21)</f>
        <v>Solid or slurry state: fine–grained oxyhydroxide residue [54]</v>
      </c>
      <c r="AN21" t="str" cm="1">
        <f t="array" ref="AN21">IFERROR(_xlfn.LET(_xlpm.txt,O21,_xlpm.inside,MID(_xlpm.txt,FIND("[",_xlpm.txt)+1,FIND("]",_xlpm.txt)-FIND("[",_xlpm.txt)-1),_xlpm.nums,VALUE(_xlfn.TEXTSPLIT(_xlpm.inside,",")),_xlpm.mapped,_xlfn.XLOOKUP(_xlpm.nums,$X$2:$X$100,$Y$2:$Y$100),SUBSTITUTE(_xlpm.txt,"["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"]")),O21)</f>
        <v>Unavailable data</v>
      </c>
      <c r="AO21" t="str" cm="1">
        <f t="array" ref="AO21">IFERROR(_xlfn.LET(_xlpm.txt,P21,_xlpm.inside,MID(_xlpm.txt,FIND("[",_xlpm.txt)+1,FIND("]",_xlpm.txt)-FIND("[",_xlpm.txt)-1),_xlpm.nums,VALUE(_xlfn.TEXTSPLIT(_xlpm.inside,",")),_xlpm.mapped,_xlfn.XLOOKUP(_xlpm.nums,$X$2:$X$100,$Y$2:$Y$100),SUBSTITUTE(_xlpm.txt,"["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"]")),P21)</f>
        <v>Near neutral–alkaline: prior to industrial neutralization) [47]</v>
      </c>
      <c r="AP21" t="str" cm="1">
        <f t="array" ref="AP21">IFERROR(_xlfn.LET(_xlpm.txt,Q21,_xlpm.inside,MID(_xlpm.txt,FIND("[",_xlpm.txt)+1,FIND("]",_xlpm.txt)-FIND("[",_xlpm.txt)-1),_xlpm.nums,VALUE(_xlfn.TEXTSPLIT(_xlpm.inside,",")),_xlpm.mapped,_xlfn.XLOOKUP(_xlpm.nums,$X$2:$X$100,$Y$2:$Y$100),SUBSTITUTE(_xlpm.txt,"["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"]")),Q21)</f>
        <v>High: handled as wet slurry or neutralized filter cake [54]</v>
      </c>
    </row>
    <row r="22" spans="1:42" ht="136" x14ac:dyDescent="0.2">
      <c r="A22" s="15" t="s">
        <v>17</v>
      </c>
      <c r="B22" s="16" t="s">
        <v>1260</v>
      </c>
      <c r="C22" s="16" t="s">
        <v>18</v>
      </c>
      <c r="D22" s="16" t="s">
        <v>1261</v>
      </c>
      <c r="E22" s="16" t="s">
        <v>1262</v>
      </c>
      <c r="F22" s="16" t="s">
        <v>1263</v>
      </c>
      <c r="G22" s="16" t="s">
        <v>1264</v>
      </c>
      <c r="H22" s="16" t="s">
        <v>1265</v>
      </c>
      <c r="I22" s="16" t="s">
        <v>237</v>
      </c>
      <c r="J22" s="16" t="s">
        <v>237</v>
      </c>
      <c r="K22" s="16" t="s">
        <v>1266</v>
      </c>
      <c r="L22" s="16" t="s">
        <v>1267</v>
      </c>
      <c r="M22" s="16" t="s">
        <v>1268</v>
      </c>
      <c r="N22" s="16" t="s">
        <v>1269</v>
      </c>
      <c r="O22" s="16" t="s">
        <v>235</v>
      </c>
      <c r="P22" s="16" t="s">
        <v>1270</v>
      </c>
      <c r="Q22" s="16" t="s">
        <v>1271</v>
      </c>
      <c r="X22" s="41">
        <v>24</v>
      </c>
      <c r="Y22" s="63">
        <v>12</v>
      </c>
      <c r="AA22" t="str" cm="1">
        <f t="array" ref="AA22">IFERROR(_xlfn.LET(_xlpm.txt,B22,_xlpm.inside,MID(_xlpm.txt,FIND("[",_xlpm.txt)+1,FIND("]",_xlpm.txt)-FIND("[",_xlpm.txt)-1),_xlpm.nums,VALUE(_xlfn.TEXTSPLIT(_xlpm.inside,",")),_xlpm.mapped,_xlfn.XLOOKUP(_xlpm.nums,$X$2:$X$100,$Y$2:$Y$100),SUBSTITUTE(_xlpm.txt,"["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"]")),B22)</f>
        <v>Chromite concentrates (FeCr2O4) [18,4]</v>
      </c>
      <c r="AB22" t="str" cm="1">
        <f t="array" ref="AB22">IFERROR(_xlfn.LET(_xlpm.txt,C22,_xlpm.inside,MID(_xlpm.txt,FIND("[",_xlpm.txt)+1,FIND("]",_xlpm.txt)-FIND("[",_xlpm.txt)-1),_xlpm.nums,VALUE(_xlfn.TEXTSPLIT(_xlpm.inside,",")),_xlpm.mapped,_xlfn.XLOOKUP(_xlpm.nums,$X$2:$X$100,$Y$2:$Y$100),SUBSTITUTE(_xlpm.txt,"["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"]")),C22)</f>
        <v>Ferrochrome slag</v>
      </c>
      <c r="AC22" t="str" cm="1">
        <f t="array" ref="AC22">IFERROR(_xlfn.LET(_xlpm.txt,D22,_xlpm.inside,MID(_xlpm.txt,FIND("[",_xlpm.txt)+1,FIND("]",_xlpm.txt)-FIND("[",_xlpm.txt)-1),_xlpm.nums,VALUE(_xlfn.TEXTSPLIT(_xlpm.inside,",")),_xlpm.mapped,_xlfn.XLOOKUP(_xlpm.nums,$X$2:$X$100,$Y$2:$Y$100),SUBSTITUTE(_xlpm.txt,"["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"]")),D22)</f>
        <v>FeCr smelting – Submerged arc furnaces [2,4]</v>
      </c>
      <c r="AD22" t="str" cm="1">
        <f t="array" ref="AD22">IFERROR(_xlfn.LET(_xlpm.txt,E22,_xlpm.inside,MID(_xlpm.txt,FIND("[",_xlpm.txt)+1,FIND("]",_xlpm.txt)-FIND("[",_xlpm.txt)-1),_xlpm.nums,VALUE(_xlfn.TEXTSPLIT(_xlpm.inside,",")),_xlpm.mapped,_xlfn.XLOOKUP(_xlpm.nums,$X$2:$X$100,$Y$2:$Y$100),SUBSTITUTE(_xlpm.txt,"["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"]")),E22)</f>
        <v>Alkali roasting to convert Cr into extractable sodium chromate or chromite species [5]
Magnetic separation to recover Fe–rich or Cr–rich spinel fractions [21]
Accelerated carbonation to immobilise Cr(VI) and stabilises the material [5]</v>
      </c>
      <c r="AE22" t="str" cm="1">
        <f t="array" ref="AE22">IFERROR(_xlfn.LET(_xlpm.txt,F22,_xlpm.inside,MID(_xlpm.txt,FIND("[",_xlpm.txt)+1,FIND("]",_xlpm.txt)-FIND("[",_xlpm.txt)-1),_xlpm.nums,VALUE(_xlfn.TEXTSPLIT(_xlpm.inside,",")),_xlpm.mapped,_xlfn.XLOOKUP(_xlpm.nums,$X$2:$X$100,$Y$2:$Y$100),SUBSTITUTE(_xlpm.txt,"["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"]")),F22)</f>
        <v>Cr (III) or Cr (VI) stability, spinel bound Cr [54]</v>
      </c>
      <c r="AF22" t="str" cm="1">
        <f t="array" ref="AF22">IFERROR(_xlfn.LET(_xlpm.txt,G22,_xlpm.inside,MID(_xlpm.txt,FIND("[",_xlpm.txt)+1,FIND("]",_xlpm.txt)-FIND("[",_xlpm.txt)-1),_xlpm.nums,VALUE(_xlfn.TEXTSPLIT(_xlpm.inside,",")),_xlpm.mapped,_xlfn.XLOOKUP(_xlpm.nums,$X$2:$X$100,$Y$2:$Y$100),SUBSTITUTE(_xlpm.txt,"["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"]")),G22)</f>
        <v>Cr (VI) management cost with Cr recovery value [54]</v>
      </c>
      <c r="AG22" t="str" cm="1">
        <f t="array" ref="AG22">IFERROR(_xlfn.LET(_xlpm.txt,H22,_xlpm.inside,MID(_xlpm.txt,FIND("[",_xlpm.txt)+1,FIND("]",_xlpm.txt)-FIND("[",_xlpm.txt)-1),_xlpm.nums,VALUE(_xlfn.TEXTSPLIT(_xlpm.inside,",")),_xlpm.mapped,_xlfn.XLOOKUP(_xlpm.nums,$X$2:$X$100,$Y$2:$Y$100),SUBSTITUTE(_xlpm.txt,"["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"]")),H22)</f>
        <v>Ferrochromite alloy, alkali chromates, aggregates, cementitious filler [54]</v>
      </c>
      <c r="AH22" t="str" cm="1">
        <f t="array" ref="AH22">IFERROR(_xlfn.LET(_xlpm.txt,I22,_xlpm.inside,MID(_xlpm.txt,FIND("[",_xlpm.txt)+1,FIND("]",_xlpm.txt)-FIND("[",_xlpm.txt)-1),_xlpm.nums,VALUE(_xlfn.TEXTSPLIT(_xlpm.inside,",")),_xlpm.mapped,_xlfn.XLOOKUP(_xlpm.nums,$X$2:$X$100,$Y$2:$Y$100),SUBSTITUTE(_xlpm.txt,"["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"]")),I22)</f>
        <v>Not applicable</v>
      </c>
      <c r="AI22" t="str" cm="1">
        <f t="array" ref="AI22">IFERROR(_xlfn.LET(_xlpm.txt,J22,_xlpm.inside,MID(_xlpm.txt,FIND("[",_xlpm.txt)+1,FIND("]",_xlpm.txt)-FIND("[",_xlpm.txt)-1),_xlpm.nums,VALUE(_xlfn.TEXTSPLIT(_xlpm.inside,",")),_xlpm.mapped,_xlfn.XLOOKUP(_xlpm.nums,$X$2:$X$100,$Y$2:$Y$100),SUBSTITUTE(_xlpm.txt,"["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"]")),J22)</f>
        <v>Not applicable</v>
      </c>
      <c r="AJ22" t="str" cm="1">
        <f t="array" ref="AJ22">IFERROR(_xlfn.LET(_xlpm.txt,K22,_xlpm.inside,MID(_xlpm.txt,FIND("[",_xlpm.txt)+1,FIND("]",_xlpm.txt)-FIND("[",_xlpm.txt)-1),_xlpm.nums,VALUE(_xlfn.TEXTSPLIT(_xlpm.inside,",")),_xlpm.mapped,_xlfn.XLOOKUP(_xlpm.nums,$X$2:$X$100,$Y$2:$Y$100),SUBSTITUTE(_xlpm.txt,"["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"]")),K22)</f>
        <v>MgO
Al2O3
SiO2
CaO
Cr (residual spinel) [47,54]</v>
      </c>
      <c r="AK22" t="str" cm="1">
        <f t="array" ref="AK22">IFERROR(_xlfn.LET(_xlpm.txt,L22,_xlpm.inside,MID(_xlpm.txt,FIND("[",_xlpm.txt)+1,FIND("]",_xlpm.txt)-FIND("[",_xlpm.txt)-1),_xlpm.nums,VALUE(_xlfn.TEXTSPLIT(_xlpm.inside,",")),_xlpm.mapped,_xlfn.XLOOKUP(_xlpm.nums,$X$2:$X$100,$Y$2:$Y$100),SUBSTITUTE(_xlpm.txt,"["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"]")),L22)</f>
        <v>Enstatite (FMgSiO3​)
Forsterite (MgF2​SiO4​)
Magnesiochromite (MgCr2​O4​)
Chromite (FeCr2O4) [47,54]</v>
      </c>
      <c r="AL22" t="str" cm="1">
        <f t="array" ref="AL22">IFERROR(_xlfn.LET(_xlpm.txt,M22,_xlpm.inside,MID(_xlpm.txt,FIND("[",_xlpm.txt)+1,FIND("]",_xlpm.txt)-FIND("[",_xlpm.txt)-1),_xlpm.nums,VALUE(_xlfn.TEXTSPLIT(_xlpm.inside,",")),_xlpm.mapped,_xlfn.XLOOKUP(_xlpm.nums,$X$2:$X$100,$Y$2:$Y$100),SUBSTITUTE(_xlpm.txt,"["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"]")),M22)</f>
        <v>Si, Fe, Al, Mg, Ca, Cr, Ti, Mn [54]</v>
      </c>
      <c r="AM22" t="str" cm="1">
        <f t="array" ref="AM22">IFERROR(_xlfn.LET(_xlpm.txt,N22,_xlpm.inside,MID(_xlpm.txt,FIND("[",_xlpm.txt)+1,FIND("]",_xlpm.txt)-FIND("[",_xlpm.txt)-1),_xlpm.nums,VALUE(_xlfn.TEXTSPLIT(_xlpm.inside,",")),_xlpm.mapped,_xlfn.XLOOKUP(_xlpm.nums,$X$2:$X$100,$Y$2:$Y$100),SUBSTITUTE(_xlpm.txt,"["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"]")),N22)</f>
        <v>Solid state: stony or granular aggregate [54]</v>
      </c>
      <c r="AN22" t="str" cm="1">
        <f t="array" ref="AN22">IFERROR(_xlfn.LET(_xlpm.txt,O22,_xlpm.inside,MID(_xlpm.txt,FIND("[",_xlpm.txt)+1,FIND("]",_xlpm.txt)-FIND("[",_xlpm.txt)-1),_xlpm.nums,VALUE(_xlfn.TEXTSPLIT(_xlpm.inside,",")),_xlpm.mapped,_xlfn.XLOOKUP(_xlpm.nums,$X$2:$X$100,$Y$2:$Y$100),SUBSTITUTE(_xlpm.txt,"["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"]")),O22)</f>
        <v>Unavailable data</v>
      </c>
      <c r="AO22" t="str" cm="1">
        <f t="array" ref="AO22">IFERROR(_xlfn.LET(_xlpm.txt,P22,_xlpm.inside,MID(_xlpm.txt,FIND("[",_xlpm.txt)+1,FIND("]",_xlpm.txt)-FIND("[",_xlpm.txt)-1),_xlpm.nums,VALUE(_xlfn.TEXTSPLIT(_xlpm.inside,",")),_xlpm.mapped,_xlfn.XLOOKUP(_xlpm.nums,$X$2:$X$100,$Y$2:$Y$100),SUBSTITUTE(_xlpm.txt,"["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"]")),P22)</f>
        <v>Alkaline: refractory oxide matrix [54]</v>
      </c>
      <c r="AP22" t="str" cm="1">
        <f t="array" ref="AP22">IFERROR(_xlfn.LET(_xlpm.txt,Q22,_xlpm.inside,MID(_xlpm.txt,FIND("[",_xlpm.txt)+1,FIND("]",_xlpm.txt)-FIND("[",_xlpm.txt)-1),_xlpm.nums,VALUE(_xlfn.TEXTSPLIT(_xlpm.inside,",")),_xlpm.mapped,_xlfn.XLOOKUP(_xlpm.nums,$X$2:$X$100,$Y$2:$Y$100),SUBSTITUTE(_xlpm.txt,"["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"]")),Q22)</f>
        <v>Negligible: refractory solid aggregates [54]</v>
      </c>
    </row>
    <row r="23" spans="1:42" ht="102" x14ac:dyDescent="0.2">
      <c r="A23" s="15" t="s">
        <v>232</v>
      </c>
      <c r="B23" s="16" t="s">
        <v>1272</v>
      </c>
      <c r="C23" s="16" t="s">
        <v>19</v>
      </c>
      <c r="D23" s="16" t="s">
        <v>1273</v>
      </c>
      <c r="E23" s="16" t="s">
        <v>1274</v>
      </c>
      <c r="F23" s="16" t="s">
        <v>1275</v>
      </c>
      <c r="G23" s="16" t="s">
        <v>1276</v>
      </c>
      <c r="H23" s="16" t="s">
        <v>1277</v>
      </c>
      <c r="I23" s="16" t="s">
        <v>237</v>
      </c>
      <c r="J23" s="16" t="s">
        <v>1278</v>
      </c>
      <c r="K23" s="16" t="s">
        <v>1279</v>
      </c>
      <c r="L23" s="16" t="s">
        <v>871</v>
      </c>
      <c r="M23" s="16" t="s">
        <v>1280</v>
      </c>
      <c r="N23" s="16" t="s">
        <v>1281</v>
      </c>
      <c r="O23" s="16" t="s">
        <v>235</v>
      </c>
      <c r="P23" s="16" t="s">
        <v>1282</v>
      </c>
      <c r="Q23" s="16" t="s">
        <v>1283</v>
      </c>
      <c r="X23" s="36">
        <v>25</v>
      </c>
      <c r="Y23" s="63">
        <v>11</v>
      </c>
      <c r="AA23" t="str" cm="1">
        <f t="array" ref="AA23">IFERROR(_xlfn.LET(_xlpm.txt,B23,_xlpm.inside,MID(_xlpm.txt,FIND("[",_xlpm.txt)+1,FIND("]",_xlpm.txt)-FIND("[",_xlpm.txt)-1),_xlpm.nums,VALUE(_xlfn.TEXTSPLIT(_xlpm.inside,",")),_xlpm.mapped,_xlfn.XLOOKUP(_xlpm.nums,$X$2:$X$100,$Y$2:$Y$100),SUBSTITUTE(_xlpm.txt,"["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"]")),B23)</f>
        <v>Manganese ores (MnO2, Mn3O4) [47,2]</v>
      </c>
      <c r="AB23" t="str" cm="1">
        <f t="array" ref="AB23">IFERROR(_xlfn.LET(_xlpm.txt,C23,_xlpm.inside,MID(_xlpm.txt,FIND("[",_xlpm.txt)+1,FIND("]",_xlpm.txt)-FIND("[",_xlpm.txt)-1),_xlpm.nums,VALUE(_xlfn.TEXTSPLIT(_xlpm.inside,",")),_xlpm.mapped,_xlfn.XLOOKUP(_xlpm.nums,$X$2:$X$100,$Y$2:$Y$100),SUBSTITUTE(_xlpm.txt,"["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"]")),C23)</f>
        <v>Ferro manganese slag</v>
      </c>
      <c r="AC23" t="str" cm="1">
        <f t="array" ref="AC23">IFERROR(_xlfn.LET(_xlpm.txt,D23,_xlpm.inside,MID(_xlpm.txt,FIND("[",_xlpm.txt)+1,FIND("]",_xlpm.txt)-FIND("[",_xlpm.txt)-1),_xlpm.nums,VALUE(_xlfn.TEXTSPLIT(_xlpm.inside,",")),_xlpm.mapped,_xlfn.XLOOKUP(_xlpm.nums,$X$2:$X$100,$Y$2:$Y$100),SUBSTITUTE(_xlpm.txt,"["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"]")),D23)</f>
        <v>FeMn smelting – Submerged arc furnaces [2,4]</v>
      </c>
      <c r="AD23" t="str" cm="1">
        <f t="array" ref="AD23">IFERROR(_xlfn.LET(_xlpm.txt,E23,_xlpm.inside,MID(_xlpm.txt,FIND("[",_xlpm.txt)+1,FIND("]",_xlpm.txt)-FIND("[",_xlpm.txt)-1),_xlpm.nums,VALUE(_xlfn.TEXTSPLIT(_xlpm.inside,",")),_xlpm.mapped,_xlfn.XLOOKUP(_xlpm.nums,$X$2:$X$100,$Y$2:$Y$100),SUBSTITUTE(_xlpm.txt,"["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"]")),E23)</f>
        <v>Acidic leaching to extract Mn from its silicate phases [36]
Roasting to convert Mn–bearing phases into more leachable oxides [44]
Carbonate precipitation to obtain MnCO3 or MnSO4 intermediates [36]</v>
      </c>
      <c r="AE23" t="str" cm="1">
        <f t="array" ref="AE23">IFERROR(_xlfn.LET(_xlpm.txt,F23,_xlpm.inside,MID(_xlpm.txt,FIND("[",_xlpm.txt)+1,FIND("]",_xlpm.txt)-FIND("[",_xlpm.txt)-1),_xlpm.nums,VALUE(_xlfn.TEXTSPLIT(_xlpm.inside,",")),_xlpm.mapped,_xlfn.XLOOKUP(_xlpm.nums,$X$2:$X$100,$Y$2:$Y$100),SUBSTITUTE(_xlpm.txt,"["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"]")),F23)</f>
        <v>Variable mineralogy, Leaching of Mn [2]</v>
      </c>
      <c r="AF23" t="str" cm="1">
        <f t="array" ref="AF23">IFERROR(_xlfn.LET(_xlpm.txt,G23,_xlpm.inside,MID(_xlpm.txt,FIND("[",_xlpm.txt)+1,FIND("]",_xlpm.txt)-FIND("[",_xlpm.txt)-1),_xlpm.nums,VALUE(_xlfn.TEXTSPLIT(_xlpm.inside,",")),_xlpm.mapped,_xlfn.XLOOKUP(_xlpm.nums,$X$2:$X$100,$Y$2:$Y$100),SUBSTITUTE(_xlpm.txt,"["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"]")),G23)</f>
        <v>Mn recovery for battery–grade chemicals [2]</v>
      </c>
      <c r="AG23" t="str" cm="1">
        <f t="array" ref="AG23">IFERROR(_xlfn.LET(_xlpm.txt,H23,_xlpm.inside,MID(_xlpm.txt,FIND("[",_xlpm.txt)+1,FIND("]",_xlpm.txt)-FIND("[",_xlpm.txt)-1),_xlpm.nums,VALUE(_xlfn.TEXTSPLIT(_xlpm.inside,",")),_xlpm.mapped,_xlfn.XLOOKUP(_xlpm.nums,$X$2:$X$100,$Y$2:$Y$100),SUBSTITUTE(_xlpm.txt,"["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"]")),H23)</f>
        <v>Electrolytic Mn metal, MnSO4, MnCO3, SCM [2]</v>
      </c>
      <c r="AH23" t="str" cm="1">
        <f t="array" ref="AH23">IFERROR(_xlfn.LET(_xlpm.txt,I23,_xlpm.inside,MID(_xlpm.txt,FIND("[",_xlpm.txt)+1,FIND("]",_xlpm.txt)-FIND("[",_xlpm.txt)-1),_xlpm.nums,VALUE(_xlfn.TEXTSPLIT(_xlpm.inside,",")),_xlpm.mapped,_xlfn.XLOOKUP(_xlpm.nums,$X$2:$X$100,$Y$2:$Y$100),SUBSTITUTE(_xlpm.txt,"["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"]")),I23)</f>
        <v>Not applicable</v>
      </c>
      <c r="AI23" t="str" cm="1">
        <f t="array" ref="AI23">IFERROR(_xlfn.LET(_xlpm.txt,J23,_xlpm.inside,MID(_xlpm.txt,FIND("[",_xlpm.txt)+1,FIND("]",_xlpm.txt)-FIND("[",_xlpm.txt)-1),_xlpm.nums,VALUE(_xlfn.TEXTSPLIT(_xlpm.inside,",")),_xlpm.mapped,_xlfn.XLOOKUP(_xlpm.nums,$X$2:$X$100,$Y$2:$Y$100),SUBSTITUTE(_xlpm.txt,"["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"]")),J23)</f>
        <v>Mn (battery grade) [2]</v>
      </c>
      <c r="AJ23" t="str" cm="1">
        <f t="array" ref="AJ23">IFERROR(_xlfn.LET(_xlpm.txt,K23,_xlpm.inside,MID(_xlpm.txt,FIND("[",_xlpm.txt)+1,FIND("]",_xlpm.txt)-FIND("[",_xlpm.txt)-1),_xlpm.nums,VALUE(_xlfn.TEXTSPLIT(_xlpm.inside,",")),_xlpm.mapped,_xlfn.XLOOKUP(_xlpm.nums,$X$2:$X$100,$Y$2:$Y$100),SUBSTITUTE(_xlpm.txt,"["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"]")),K23)</f>
        <v>MnO
SiO2
CaO
Al2O3
MgO
REEs (traces upto 3370ppm) [2]</v>
      </c>
      <c r="AK23" t="str" cm="1">
        <f t="array" ref="AK23">IFERROR(_xlfn.LET(_xlpm.txt,L23,_xlpm.inside,MID(_xlpm.txt,FIND("[",_xlpm.txt)+1,FIND("]",_xlpm.txt)-FIND("[",_xlpm.txt)-1),_xlpm.nums,VALUE(_xlfn.TEXTSPLIT(_xlpm.inside,",")),_xlpm.mapped,_xlfn.XLOOKUP(_xlpm.nums,$X$2:$X$100,$Y$2:$Y$100),SUBSTITUTE(_xlpm.txt,"["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"]")),L23)</f>
        <v>Tephroite (Mn2​SiO4​)
Spinel [(Mn,Fe)(V,Cr)2​O4​]
Manganosite (MnO​)
Hausmannite (potential) [58, 11]</v>
      </c>
      <c r="AL23" t="str" cm="1">
        <f t="array" ref="AL23">IFERROR(_xlfn.LET(_xlpm.txt,M23,_xlpm.inside,MID(_xlpm.txt,FIND("[",_xlpm.txt)+1,FIND("]",_xlpm.txt)-FIND("[",_xlpm.txt)-1),_xlpm.nums,VALUE(_xlfn.TEXTSPLIT(_xlpm.inside,",")),_xlpm.mapped,_xlfn.XLOOKUP(_xlpm.nums,$X$2:$X$100,$Y$2:$Y$100),SUBSTITUTE(_xlpm.txt,"["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"]")),M23)</f>
        <v>Mn, Si, Ca, Al, Mg, REEs (La, Ce, Nd, Pr etc.), Fe, Ba, P [2]</v>
      </c>
      <c r="AM23" t="str" cm="1">
        <f t="array" ref="AM23">IFERROR(_xlfn.LET(_xlpm.txt,N23,_xlpm.inside,MID(_xlpm.txt,FIND("[",_xlpm.txt)+1,FIND("]",_xlpm.txt)-FIND("[",_xlpm.txt)-1),_xlpm.nums,VALUE(_xlfn.TEXTSPLIT(_xlpm.inside,",")),_xlpm.mapped,_xlfn.XLOOKUP(_xlpm.nums,$X$2:$X$100,$Y$2:$Y$100),SUBSTITUTE(_xlpm.txt,"["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"]")),N23)</f>
        <v>Solid state: granular or stony aggregate [2]</v>
      </c>
      <c r="AN23" t="str" cm="1">
        <f t="array" ref="AN23">IFERROR(_xlfn.LET(_xlpm.txt,O23,_xlpm.inside,MID(_xlpm.txt,FIND("[",_xlpm.txt)+1,FIND("]",_xlpm.txt)-FIND("[",_xlpm.txt)-1),_xlpm.nums,VALUE(_xlfn.TEXTSPLIT(_xlpm.inside,",")),_xlpm.mapped,_xlfn.XLOOKUP(_xlpm.nums,$X$2:$X$100,$Y$2:$Y$100),SUBSTITUTE(_xlpm.txt,"["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"]")),O23)</f>
        <v>Unavailable data</v>
      </c>
      <c r="AO23" t="str" cm="1">
        <f t="array" ref="AO23">IFERROR(_xlfn.LET(_xlpm.txt,P23,_xlpm.inside,MID(_xlpm.txt,FIND("[",_xlpm.txt)+1,FIND("]",_xlpm.txt)-FIND("[",_xlpm.txt)-1),_xlpm.nums,VALUE(_xlfn.TEXTSPLIT(_xlpm.inside,",")),_xlpm.mapped,_xlfn.XLOOKUP(_xlpm.nums,$X$2:$X$100,$Y$2:$Y$100),SUBSTITUTE(_xlpm.txt,"["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"]")),P23)</f>
        <v>Alkaline: stepwise precipitate process at pH 2.5–5.65 [2]</v>
      </c>
      <c r="AP23" t="str" cm="1">
        <f t="array" ref="AP23">IFERROR(_xlfn.LET(_xlpm.txt,Q23,_xlpm.inside,MID(_xlpm.txt,FIND("[",_xlpm.txt)+1,FIND("]",_xlpm.txt)-FIND("[",_xlpm.txt)-1),_xlpm.nums,VALUE(_xlfn.TEXTSPLIT(_xlpm.inside,",")),_xlpm.mapped,_xlfn.XLOOKUP(_xlpm.nums,$X$2:$X$100,$Y$2:$Y$100),SUBSTITUTE(_xlpm.txt,"["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"]")),Q23)</f>
        <v>Negligible: solid stony aggregates [2]</v>
      </c>
    </row>
    <row r="24" spans="1:42" ht="136" x14ac:dyDescent="0.2">
      <c r="A24" s="15" t="s">
        <v>20</v>
      </c>
      <c r="B24" s="16" t="s">
        <v>1284</v>
      </c>
      <c r="C24" s="16" t="s">
        <v>21</v>
      </c>
      <c r="D24" s="16" t="s">
        <v>1285</v>
      </c>
      <c r="E24" s="16" t="s">
        <v>1286</v>
      </c>
      <c r="F24" s="16" t="s">
        <v>1287</v>
      </c>
      <c r="G24" s="16" t="s">
        <v>1288</v>
      </c>
      <c r="H24" s="16" t="s">
        <v>1289</v>
      </c>
      <c r="I24" s="16" t="s">
        <v>237</v>
      </c>
      <c r="J24" s="16" t="s">
        <v>1290</v>
      </c>
      <c r="K24" s="16" t="s">
        <v>1291</v>
      </c>
      <c r="L24" s="16" t="s">
        <v>1292</v>
      </c>
      <c r="M24" s="16" t="s">
        <v>1293</v>
      </c>
      <c r="N24" s="16" t="s">
        <v>1294</v>
      </c>
      <c r="O24" s="16" t="s">
        <v>235</v>
      </c>
      <c r="P24" s="16" t="s">
        <v>1295</v>
      </c>
      <c r="Q24" s="16" t="s">
        <v>1296</v>
      </c>
      <c r="X24" s="36">
        <v>27</v>
      </c>
      <c r="Y24" s="63">
        <v>25</v>
      </c>
      <c r="AA24" t="str" cm="1">
        <f t="array" ref="AA24">IFERROR(_xlfn.LET(_xlpm.txt,B24,_xlpm.inside,MID(_xlpm.txt,FIND("[",_xlpm.txt)+1,FIND("]",_xlpm.txt)-FIND("[",_xlpm.txt)-1),_xlpm.nums,VALUE(_xlfn.TEXTSPLIT(_xlpm.inside,",")),_xlpm.mapped,_xlfn.XLOOKUP(_xlpm.nums,$X$2:$X$100,$Y$2:$Y$100),SUBSTITUTE(_xlpm.txt,"["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"]")),B24)</f>
        <v>Quartz (SiO2) + carbon reductant [4]</v>
      </c>
      <c r="AB24" t="str" cm="1">
        <f t="array" ref="AB24">IFERROR(_xlfn.LET(_xlpm.txt,C24,_xlpm.inside,MID(_xlpm.txt,FIND("[",_xlpm.txt)+1,FIND("]",_xlpm.txt)-FIND("[",_xlpm.txt)-1),_xlpm.nums,VALUE(_xlfn.TEXTSPLIT(_xlpm.inside,",")),_xlpm.mapped,_xlfn.XLOOKUP(_xlpm.nums,$X$2:$X$100,$Y$2:$Y$100),SUBSTITUTE(_xlpm.txt,"["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"]")),C24)</f>
        <v>Ferro silicon slag</v>
      </c>
      <c r="AC24" t="str" cm="1">
        <f t="array" ref="AC24">IFERROR(_xlfn.LET(_xlpm.txt,D24,_xlpm.inside,MID(_xlpm.txt,FIND("[",_xlpm.txt)+1,FIND("]",_xlpm.txt)-FIND("[",_xlpm.txt)-1),_xlpm.nums,VALUE(_xlfn.TEXTSPLIT(_xlpm.inside,",")),_xlpm.mapped,_xlfn.XLOOKUP(_xlpm.nums,$X$2:$X$100,$Y$2:$Y$100),SUBSTITUTE(_xlpm.txt,"["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"]")),D24)</f>
        <v>FeSi smelting – Submerged arc furnaces [42,2]</v>
      </c>
      <c r="AD24" t="str" cm="1">
        <f t="array" ref="AD24">IFERROR(_xlfn.LET(_xlpm.txt,E24,_xlpm.inside,MID(_xlpm.txt,FIND("[",_xlpm.txt)+1,FIND("]",_xlpm.txt)-FIND("[",_xlpm.txt)-1),_xlpm.nums,VALUE(_xlfn.TEXTSPLIT(_xlpm.inside,",")),_xlpm.mapped,_xlfn.XLOOKUP(_xlpm.nums,$X$2:$X$100,$Y$2:$Y$100),SUBSTITUTE(_xlpm.txt,"["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"]")),E24)</f>
        <v>Si extraction through hydrometallurgical or thermal treatment [36]
Return to furnace as reductant or silicon source [ 21]
Crushing into graded aggregates for low–value construction filler applications [36]</v>
      </c>
      <c r="AE24" t="str" cm="1">
        <f t="array" ref="AE24">IFERROR(_xlfn.LET(_xlpm.txt,F24,_xlpm.inside,MID(_xlpm.txt,FIND("[",_xlpm.txt)+1,FIND("]",_xlpm.txt)-FIND("[",_xlpm.txt)-1),_xlpm.nums,VALUE(_xlfn.TEXTSPLIT(_xlpm.inside,",")),_xlpm.mapped,_xlfn.XLOOKUP(_xlpm.nums,$X$2:$X$100,$Y$2:$Y$100),SUBSTITUTE(_xlpm.txt,"["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"]")),F24)</f>
        <v>Silica phase variability, entrained metals [4]</v>
      </c>
      <c r="AF24" t="str" cm="1">
        <f t="array" ref="AF24">IFERROR(_xlfn.LET(_xlpm.txt,G24,_xlpm.inside,MID(_xlpm.txt,FIND("[",_xlpm.txt)+1,FIND("]",_xlpm.txt)-FIND("[",_xlpm.txt)-1),_xlpm.nums,VALUE(_xlfn.TEXTSPLIT(_xlpm.inside,",")),_xlpm.mapped,_xlfn.XLOOKUP(_xlpm.nums,$X$2:$X$100,$Y$2:$Y$100),SUBSTITUTE(_xlpm.txt,"["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"]")),G24)</f>
        <v>Limited economic incentives unless viable Si extraction [4]</v>
      </c>
      <c r="AG24" t="str" cm="1">
        <f t="array" ref="AG24">IFERROR(_xlfn.LET(_xlpm.txt,H24,_xlpm.inside,MID(_xlpm.txt,FIND("[",_xlpm.txt)+1,FIND("]",_xlpm.txt)-FIND("[",_xlpm.txt)-1),_xlpm.nums,VALUE(_xlfn.TEXTSPLIT(_xlpm.inside,",")),_xlpm.mapped,_xlfn.XLOOKUP(_xlpm.nums,$X$2:$X$100,$Y$2:$Y$100),SUBSTITUTE(_xlpm.txt,"["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"]")),H24)</f>
        <v>Silicates raw material, aggregates, amorphous Si [4]</v>
      </c>
      <c r="AH24" t="str" cm="1">
        <f t="array" ref="AH24">IFERROR(_xlfn.LET(_xlpm.txt,I24,_xlpm.inside,MID(_xlpm.txt,FIND("[",_xlpm.txt)+1,FIND("]",_xlpm.txt)-FIND("[",_xlpm.txt)-1),_xlpm.nums,VALUE(_xlfn.TEXTSPLIT(_xlpm.inside,",")),_xlpm.mapped,_xlfn.XLOOKUP(_xlpm.nums,$X$2:$X$100,$Y$2:$Y$100),SUBSTITUTE(_xlpm.txt,"["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"]")),I24)</f>
        <v>Not applicable</v>
      </c>
      <c r="AI24" t="str" cm="1">
        <f t="array" ref="AI24">IFERROR(_xlfn.LET(_xlpm.txt,J24,_xlpm.inside,MID(_xlpm.txt,FIND("[",_xlpm.txt)+1,FIND("]",_xlpm.txt)-FIND("[",_xlpm.txt)-1),_xlpm.nums,VALUE(_xlfn.TEXTSPLIT(_xlpm.inside,",")),_xlpm.mapped,_xlfn.XLOOKUP(_xlpm.nums,$X$2:$X$100,$Y$2:$Y$100),SUBSTITUTE(_xlpm.txt,"["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"]")),J24)</f>
        <v>Si metal [4]</v>
      </c>
      <c r="AJ24" t="str" cm="1">
        <f t="array" ref="AJ24">IFERROR(_xlfn.LET(_xlpm.txt,K24,_xlpm.inside,MID(_xlpm.txt,FIND("[",_xlpm.txt)+1,FIND("]",_xlpm.txt)-FIND("[",_xlpm.txt)-1),_xlpm.nums,VALUE(_xlfn.TEXTSPLIT(_xlpm.inside,",")),_xlpm.mapped,_xlfn.XLOOKUP(_xlpm.nums,$X$2:$X$100,$Y$2:$Y$100),SUBSTITUTE(_xlpm.txt,"["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"]")),K24)</f>
        <v>SiO2​
CaO
Al2O3
MgO
MnO
Fe–Si alloys [4]</v>
      </c>
      <c r="AK24" t="str" cm="1">
        <f t="array" ref="AK24">IFERROR(_xlfn.LET(_xlpm.txt,L24,_xlpm.inside,MID(_xlpm.txt,FIND("[",_xlpm.txt)+1,FIND("]",_xlpm.txt)-FIND("[",_xlpm.txt)-1),_xlpm.nums,VALUE(_xlfn.TEXTSPLIT(_xlpm.inside,",")),_xlpm.mapped,_xlfn.XLOOKUP(_xlpm.nums,$X$2:$X$100,$Y$2:$Y$100),SUBSTITUTE(_xlpm.txt,"["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"]")),L24)</f>
        <v>Larnite (Ca2SiO4)
Gehlenite (Ca2Al2SiO7)
Calcite
Magnesium oxide [4]</v>
      </c>
      <c r="AL24" t="str" cm="1">
        <f t="array" ref="AL24">IFERROR(_xlfn.LET(_xlpm.txt,M24,_xlpm.inside,MID(_xlpm.txt,FIND("[",_xlpm.txt)+1,FIND("]",_xlpm.txt)-FIND("[",_xlpm.txt)-1),_xlpm.nums,VALUE(_xlfn.TEXTSPLIT(_xlpm.inside,",")),_xlpm.mapped,_xlfn.XLOOKUP(_xlpm.nums,$X$2:$X$100,$Y$2:$Y$100),SUBSTITUTE(_xlpm.txt,"["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"]")),M24)</f>
        <v>Si, Ca, Fe, Al, Mg, Mn [4]</v>
      </c>
      <c r="AM24" t="str" cm="1">
        <f t="array" ref="AM24">IFERROR(_xlfn.LET(_xlpm.txt,N24,_xlpm.inside,MID(_xlpm.txt,FIND("[",_xlpm.txt)+1,FIND("]",_xlpm.txt)-FIND("[",_xlpm.txt)-1),_xlpm.nums,VALUE(_xlfn.TEXTSPLIT(_xlpm.inside,",")),_xlpm.mapped,_xlfn.XLOOKUP(_xlpm.nums,$X$2:$X$100,$Y$2:$Y$100),SUBSTITUTE(_xlpm.txt,"["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"]")),N24)</f>
        <v>Solid state: granular or rocky aggregate [4]</v>
      </c>
      <c r="AN24" t="str" cm="1">
        <f t="array" ref="AN24">IFERROR(_xlfn.LET(_xlpm.txt,O24,_xlpm.inside,MID(_xlpm.txt,FIND("[",_xlpm.txt)+1,FIND("]",_xlpm.txt)-FIND("[",_xlpm.txt)-1),_xlpm.nums,VALUE(_xlfn.TEXTSPLIT(_xlpm.inside,",")),_xlpm.mapped,_xlfn.XLOOKUP(_xlpm.nums,$X$2:$X$100,$Y$2:$Y$100),SUBSTITUTE(_xlpm.txt,"["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"]")),O24)</f>
        <v>Unavailable data</v>
      </c>
      <c r="AO24" t="str" cm="1">
        <f t="array" ref="AO24">IFERROR(_xlfn.LET(_xlpm.txt,P24,_xlpm.inside,MID(_xlpm.txt,FIND("[",_xlpm.txt)+1,FIND("]",_xlpm.txt)-FIND("[",_xlpm.txt)-1),_xlpm.nums,VALUE(_xlfn.TEXTSPLIT(_xlpm.inside,",")),_xlpm.mapped,_xlfn.XLOOKUP(_xlpm.nums,$X$2:$X$100,$Y$2:$Y$100),SUBSTITUTE(_xlpm.txt,"["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"]")),P24)</f>
        <v>Alkaline: dominantdicalcium silicate phases [4]</v>
      </c>
      <c r="AP24" t="str" cm="1">
        <f t="array" ref="AP24">IFERROR(_xlfn.LET(_xlpm.txt,Q24,_xlpm.inside,MID(_xlpm.txt,FIND("[",_xlpm.txt)+1,FIND("]",_xlpm.txt)-FIND("[",_xlpm.txt)-1),_xlpm.nums,VALUE(_xlfn.TEXTSPLIT(_xlpm.inside,",")),_xlpm.mapped,_xlfn.XLOOKUP(_xlpm.nums,$X$2:$X$100,$Y$2:$Y$100),SUBSTITUTE(_xlpm.txt,"["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"]")),Q24)</f>
        <v>Negligible: solid stony aggregates [4]</v>
      </c>
    </row>
    <row r="25" spans="1:42" ht="153" x14ac:dyDescent="0.2">
      <c r="A25" s="58" t="s">
        <v>22</v>
      </c>
      <c r="B25" s="18" t="s">
        <v>1297</v>
      </c>
      <c r="C25" s="18" t="s">
        <v>23</v>
      </c>
      <c r="D25" s="18" t="s">
        <v>1298</v>
      </c>
      <c r="E25" s="18" t="s">
        <v>1299</v>
      </c>
      <c r="F25" s="18" t="s">
        <v>1300</v>
      </c>
      <c r="G25" s="18" t="s">
        <v>1633</v>
      </c>
      <c r="H25" s="18" t="s">
        <v>1301</v>
      </c>
      <c r="I25" s="18" t="s">
        <v>237</v>
      </c>
      <c r="J25" s="18" t="s">
        <v>1302</v>
      </c>
      <c r="K25" s="18" t="s">
        <v>1303</v>
      </c>
      <c r="L25" s="18" t="s">
        <v>1304</v>
      </c>
      <c r="M25" s="18" t="s">
        <v>1305</v>
      </c>
      <c r="N25" s="18" t="s">
        <v>1306</v>
      </c>
      <c r="O25" s="18" t="s">
        <v>235</v>
      </c>
      <c r="P25" s="18" t="s">
        <v>1307</v>
      </c>
      <c r="Q25" s="18" t="s">
        <v>1308</v>
      </c>
      <c r="X25" s="36">
        <v>28</v>
      </c>
      <c r="Y25" s="63">
        <v>42</v>
      </c>
      <c r="AA25" t="str" cm="1">
        <f t="array" ref="AA25">IFERROR(_xlfn.LET(_xlpm.txt,B25,_xlpm.inside,MID(_xlpm.txt,FIND("[",_xlpm.txt)+1,FIND("]",_xlpm.txt)-FIND("[",_xlpm.txt)-1),_xlpm.nums,VALUE(_xlfn.TEXTSPLIT(_xlpm.inside,",")),_xlpm.mapped,_xlfn.XLOOKUP(_xlpm.nums,$X$2:$X$100,$Y$2:$Y$100),SUBSTITUTE(_xlpm.txt,"["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"]")),B25)</f>
        <v>Scheelite (CaWO4), wolframite ((Fe,Mn)WO4) [11,47]</v>
      </c>
      <c r="AB25" t="str" cm="1">
        <f t="array" ref="AB25">IFERROR(_xlfn.LET(_xlpm.txt,C25,_xlpm.inside,MID(_xlpm.txt,FIND("[",_xlpm.txt)+1,FIND("]",_xlpm.txt)-FIND("[",_xlpm.txt)-1),_xlpm.nums,VALUE(_xlfn.TEXTSPLIT(_xlpm.inside,",")),_xlpm.mapped,_xlfn.XLOOKUP(_xlpm.nums,$X$2:$X$100,$Y$2:$Y$100),SUBSTITUTE(_xlpm.txt,"["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"]")),C25)</f>
        <v>Tungsten tailings</v>
      </c>
      <c r="AC25" t="str" cm="1">
        <f t="array" ref="AC25">IFERROR(_xlfn.LET(_xlpm.txt,D25,_xlpm.inside,MID(_xlpm.txt,FIND("[",_xlpm.txt)+1,FIND("]",_xlpm.txt)-FIND("[",_xlpm.txt)-1),_xlpm.nums,VALUE(_xlfn.TEXTSPLIT(_xlpm.inside,",")),_xlpm.mapped,_xlfn.XLOOKUP(_xlpm.nums,$X$2:$X$100,$Y$2:$Y$100),SUBSTITUTE(_xlpm.txt,"["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"]")),D25)</f>
        <v>W ore beneficiation – Flotation or gravity concentration [52,11]</v>
      </c>
      <c r="AD25" t="str" cm="1">
        <f t="array" ref="AD25">IFERROR(_xlfn.LET(_xlpm.txt,E25,_xlpm.inside,MID(_xlpm.txt,FIND("[",_xlpm.txt)+1,FIND("]",_xlpm.txt)-FIND("[",_xlpm.txt)-1),_xlpm.nums,VALUE(_xlfn.TEXTSPLIT(_xlpm.inside,",")),_xlpm.mapped,_xlfn.XLOOKUP(_xlpm.nums,$X$2:$X$100,$Y$2:$Y$100),SUBSTITUTE(_xlpm.txt,"["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"]")),E25)</f>
        <v>Selective alkaline or acid leaching to dissolve W–bearing scheelite or wolframite residues [52]
Roasting to break refractory mineral structures and improve leachability [27]
Gravity or flotation beneficiation to obtain concentrated heavy W minerals [42]</v>
      </c>
      <c r="AE25" t="str" cm="1">
        <f t="array" ref="AE25">IFERROR(_xlfn.LET(_xlpm.txt,F25,_xlpm.inside,MID(_xlpm.txt,FIND("[",_xlpm.txt)+1,FIND("]",_xlpm.txt)-FIND("[",_xlpm.txt)-1),_xlpm.nums,VALUE(_xlfn.TEXTSPLIT(_xlpm.inside,",")),_xlpm.mapped,_xlfn.XLOOKUP(_xlpm.nums,$X$2:$X$100,$Y$2:$Y$100),SUBSTITUTE(_xlpm.txt,"["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"]")),F25)</f>
        <v>Refractory phases, low grades [54]</v>
      </c>
      <c r="AF25" t="str" cm="1">
        <f t="array" ref="AF25">IFERROR(_xlfn.LET(_xlpm.txt,G25,_xlpm.inside,MID(_xlpm.txt,FIND("[",_xlpm.txt)+1,FIND("]",_xlpm.txt)-FIND("[",_xlpm.txt)-1),_xlpm.nums,VALUE(_xlfn.TEXTSPLIT(_xlpm.inside,",")),_xlpm.mapped,_xlfn.XLOOKUP(_xlpm.nums,$X$2:$X$100,$Y$2:$Y$100),SUBSTITUTE(_xlpm.txt,"["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"]")),G25)</f>
        <v>W recovery is considered to be highily profitable despite low grade as the market demand surpasses it [54]</v>
      </c>
      <c r="AG25" t="str" cm="1">
        <f t="array" ref="AG25">IFERROR(_xlfn.LET(_xlpm.txt,H25,_xlpm.inside,MID(_xlpm.txt,FIND("[",_xlpm.txt)+1,FIND("]",_xlpm.txt)-FIND("[",_xlpm.txt)-1),_xlpm.nums,VALUE(_xlfn.TEXTSPLIT(_xlpm.inside,",")),_xlpm.mapped,_xlfn.XLOOKUP(_xlpm.nums,$X$2:$X$100,$Y$2:$Y$100),SUBSTITUTE(_xlpm.txt,"["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"]")),H25)</f>
        <v>Geopolymers, SCM, clinker feed [54]</v>
      </c>
      <c r="AH25" t="str" cm="1">
        <f t="array" ref="AH25">IFERROR(_xlfn.LET(_xlpm.txt,I25,_xlpm.inside,MID(_xlpm.txt,FIND("[",_xlpm.txt)+1,FIND("]",_xlpm.txt)-FIND("[",_xlpm.txt)-1),_xlpm.nums,VALUE(_xlfn.TEXTSPLIT(_xlpm.inside,",")),_xlpm.mapped,_xlfn.XLOOKUP(_xlpm.nums,$X$2:$X$100,$Y$2:$Y$100),SUBSTITUTE(_xlpm.txt,"["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"]")),I25)</f>
        <v>Not applicable</v>
      </c>
      <c r="AI25" t="str" cm="1">
        <f t="array" ref="AI25">IFERROR(_xlfn.LET(_xlpm.txt,J25,_xlpm.inside,MID(_xlpm.txt,FIND("[",_xlpm.txt)+1,FIND("]",_xlpm.txt)-FIND("[",_xlpm.txt)-1),_xlpm.nums,VALUE(_xlfn.TEXTSPLIT(_xlpm.inside,",")),_xlpm.mapped,_xlfn.XLOOKUP(_xlpm.nums,$X$2:$X$100,$Y$2:$Y$100),SUBSTITUTE(_xlpm.txt,"["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"]")),J25)</f>
        <v>Sn [54]</v>
      </c>
      <c r="AJ25" t="str" cm="1">
        <f t="array" ref="AJ25">IFERROR(_xlfn.LET(_xlpm.txt,K25,_xlpm.inside,MID(_xlpm.txt,FIND("[",_xlpm.txt)+1,FIND("]",_xlpm.txt)-FIND("[",_xlpm.txt)-1),_xlpm.nums,VALUE(_xlfn.TEXTSPLIT(_xlpm.inside,",")),_xlpm.mapped,_xlfn.XLOOKUP(_xlpm.nums,$X$2:$X$100,$Y$2:$Y$100),SUBSTITUTE(_xlpm.txt,"["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"]")),K25)</f>
        <v>SiO2​ (46.67–53.5%)
Al2​O3​ (16.7–21.1%)
Fe2​O3​ (10–15.5%)
CaO (9.5–29.3%) [14]</v>
      </c>
      <c r="AK25" t="str" cm="1">
        <f t="array" ref="AK25">IFERROR(_xlfn.LET(_xlpm.txt,L25,_xlpm.inside,MID(_xlpm.txt,FIND("[",_xlpm.txt)+1,FIND("]",_xlpm.txt)-FIND("[",_xlpm.txt)-1),_xlpm.nums,VALUE(_xlfn.TEXTSPLIT(_xlpm.inside,",")),_xlpm.mapped,_xlfn.XLOOKUP(_xlpm.nums,$X$2:$X$100,$Y$2:$Y$100),SUBSTITUTE(_xlpm.txt,"["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"]")),L25)</f>
        <v>Quartz (SiO2​)
Muscovite (KAl2​(AlSi3​O10​)(OH)2​)
Clinochlore
Chlorite
Albite
Calcite (CaCO3​)
Amphibole [14]</v>
      </c>
      <c r="AL25" t="str" cm="1">
        <f t="array" ref="AL25">IFERROR(_xlfn.LET(_xlpm.txt,M25,_xlpm.inside,MID(_xlpm.txt,FIND("[",_xlpm.txt)+1,FIND("]",_xlpm.txt)-FIND("[",_xlpm.txt)-1),_xlpm.nums,VALUE(_xlfn.TEXTSPLIT(_xlpm.inside,",")),_xlpm.mapped,_xlfn.XLOOKUP(_xlpm.nums,$X$2:$X$100,$Y$2:$Y$100),SUBSTITUTE(_xlpm.txt,"["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"]")),M25)</f>
        <v>Si, Al, Fe, Ca, W, REEs [14,48]</v>
      </c>
      <c r="AM25" t="str" cm="1">
        <f t="array" ref="AM25">IFERROR(_xlfn.LET(_xlpm.txt,N25,_xlpm.inside,MID(_xlpm.txt,FIND("[",_xlpm.txt)+1,FIND("]",_xlpm.txt)-FIND("[",_xlpm.txt)-1),_xlpm.nums,VALUE(_xlfn.TEXTSPLIT(_xlpm.inside,",")),_xlpm.mapped,_xlfn.XLOOKUP(_xlpm.nums,$X$2:$X$100,$Y$2:$Y$100),SUBSTITUTE(_xlpm.txt,"["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"]")),N25)</f>
        <v>Solid state: fine particulate material or slurry [54]</v>
      </c>
      <c r="AN25" t="str" cm="1">
        <f t="array" ref="AN25">IFERROR(_xlfn.LET(_xlpm.txt,O25,_xlpm.inside,MID(_xlpm.txt,FIND("[",_xlpm.txt)+1,FIND("]",_xlpm.txt)-FIND("[",_xlpm.txt)-1),_xlpm.nums,VALUE(_xlfn.TEXTSPLIT(_xlpm.inside,",")),_xlpm.mapped,_xlfn.XLOOKUP(_xlpm.nums,$X$2:$X$100,$Y$2:$Y$100),SUBSTITUTE(_xlpm.txt,"["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"]")),O25)</f>
        <v>Unavailable data</v>
      </c>
      <c r="AO25" t="str" cm="1">
        <f t="array" ref="AO25">IFERROR(_xlfn.LET(_xlpm.txt,P25,_xlpm.inside,MID(_xlpm.txt,FIND("[",_xlpm.txt)+1,FIND("]",_xlpm.txt)-FIND("[",_xlpm.txt)-1),_xlpm.nums,VALUE(_xlfn.TEXTSPLIT(_xlpm.inside,",")),_xlpm.mapped,_xlfn.XLOOKUP(_xlpm.nums,$X$2:$X$100,$Y$2:$Y$100),SUBSTITUTE(_xlpm.txt,"["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"]")),P25)</f>
        <v>8.0–9.3: typically carbonate–dominated mines [14]</v>
      </c>
      <c r="AP25" t="str" cm="1">
        <f t="array" ref="AP25">IFERROR(_xlfn.LET(_xlpm.txt,Q25,_xlpm.inside,MID(_xlpm.txt,FIND("[",_xlpm.txt)+1,FIND("]",_xlpm.txt)-FIND("[",_xlpm.txt)-1),_xlpm.nums,VALUE(_xlfn.TEXTSPLIT(_xlpm.inside,",")),_xlpm.mapped,_xlfn.XLOOKUP(_xlpm.nums,$X$2:$X$100,$Y$2:$Y$100),SUBSTITUTE(_xlpm.txt,"["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"]")),Q25)</f>
        <v>40.0–60.0%: typically mining slurry moisture range [14]</v>
      </c>
    </row>
    <row r="26" spans="1:42" ht="68" x14ac:dyDescent="0.2">
      <c r="A26" s="58" t="s">
        <v>22</v>
      </c>
      <c r="B26" s="18" t="s">
        <v>1297</v>
      </c>
      <c r="C26" s="18" t="s">
        <v>24</v>
      </c>
      <c r="D26" s="18" t="s">
        <v>1309</v>
      </c>
      <c r="E26" s="18" t="s">
        <v>1310</v>
      </c>
      <c r="F26" s="18" t="s">
        <v>1311</v>
      </c>
      <c r="G26" s="18" t="s">
        <v>1632</v>
      </c>
      <c r="H26" s="18" t="s">
        <v>1312</v>
      </c>
      <c r="I26" s="18" t="s">
        <v>1313</v>
      </c>
      <c r="J26" s="18" t="s">
        <v>1314</v>
      </c>
      <c r="K26" s="18" t="s">
        <v>1315</v>
      </c>
      <c r="L26" s="18" t="s">
        <v>1316</v>
      </c>
      <c r="M26" s="18" t="s">
        <v>1317</v>
      </c>
      <c r="N26" s="18" t="s">
        <v>1318</v>
      </c>
      <c r="O26" s="18" t="s">
        <v>235</v>
      </c>
      <c r="P26" s="18" t="s">
        <v>1319</v>
      </c>
      <c r="Q26" s="18" t="s">
        <v>1320</v>
      </c>
      <c r="X26" s="36">
        <v>30</v>
      </c>
      <c r="Y26" s="63">
        <v>35</v>
      </c>
      <c r="AA26" t="str" cm="1">
        <f t="array" ref="AA26">IFERROR(_xlfn.LET(_xlpm.txt,B26,_xlpm.inside,MID(_xlpm.txt,FIND("[",_xlpm.txt)+1,FIND("]",_xlpm.txt)-FIND("[",_xlpm.txt)-1),_xlpm.nums,VALUE(_xlfn.TEXTSPLIT(_xlpm.inside,",")),_xlpm.mapped,_xlfn.XLOOKUP(_xlpm.nums,$X$2:$X$100,$Y$2:$Y$100),SUBSTITUTE(_xlpm.txt,"["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"]")),B26)</f>
        <v>Scheelite (CaWO4), wolframite ((Fe,Mn)WO4) [11,47]</v>
      </c>
      <c r="AB26" t="str" cm="1">
        <f t="array" ref="AB26">IFERROR(_xlfn.LET(_xlpm.txt,C26,_xlpm.inside,MID(_xlpm.txt,FIND("[",_xlpm.txt)+1,FIND("]",_xlpm.txt)-FIND("[",_xlpm.txt)-1),_xlpm.nums,VALUE(_xlfn.TEXTSPLIT(_xlpm.inside,",")),_xlpm.mapped,_xlfn.XLOOKUP(_xlpm.nums,$X$2:$X$100,$Y$2:$Y$100),SUBSTITUTE(_xlpm.txt,"["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"]")),C26)</f>
        <v>Tungsten smelting slags</v>
      </c>
      <c r="AC26" t="str" cm="1">
        <f t="array" ref="AC26">IFERROR(_xlfn.LET(_xlpm.txt,D26,_xlpm.inside,MID(_xlpm.txt,FIND("[",_xlpm.txt)+1,FIND("]",_xlpm.txt)-FIND("[",_xlpm.txt)-1),_xlpm.nums,VALUE(_xlfn.TEXTSPLIT(_xlpm.inside,",")),_xlpm.mapped,_xlfn.XLOOKUP(_xlpm.nums,$X$2:$X$100,$Y$2:$Y$100),SUBSTITUTE(_xlpm.txt,"["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"]")),D26)</f>
        <v>W smelting – Smelting or reduction [36,54]</v>
      </c>
      <c r="AD26" t="str" cm="1">
        <f t="array" ref="AD26">IFERROR(_xlfn.LET(_xlpm.txt,E26,_xlpm.inside,MID(_xlpm.txt,FIND("[",_xlpm.txt)+1,FIND("]",_xlpm.txt)-FIND("[",_xlpm.txt)-1),_xlpm.nums,VALUE(_xlfn.TEXTSPLIT(_xlpm.inside,",")),_xlpm.mapped,_xlfn.XLOOKUP(_xlpm.nums,$X$2:$X$100,$Y$2:$Y$100),SUBSTITUTE(_xlpm.txt,"["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"]")),E26)</f>
        <v>Hydrometallurgical leaching to extract W from post–smelting oxides [36]
Oxidative roasting to improve W phase solubility [49]</v>
      </c>
      <c r="AE26" t="str" cm="1">
        <f t="array" ref="AE26">IFERROR(_xlfn.LET(_xlpm.txt,F26,_xlpm.inside,MID(_xlpm.txt,FIND("[",_xlpm.txt)+1,FIND("]",_xlpm.txt)-FIND("[",_xlpm.txt)-1),_xlpm.nums,VALUE(_xlfn.TEXTSPLIT(_xlpm.inside,",")),_xlpm.mapped,_xlfn.XLOOKUP(_xlpm.nums,$X$2:$X$100,$Y$2:$Y$100),SUBSTITUTE(_xlpm.txt,"["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"]")),F26)</f>
        <v>Low W content, phase stability limits the extraction process [2]</v>
      </c>
      <c r="AF26" t="str" cm="1">
        <f t="array" ref="AF26">IFERROR(_xlfn.LET(_xlpm.txt,G26,_xlpm.inside,MID(_xlpm.txt,FIND("[",_xlpm.txt)+1,FIND("]",_xlpm.txt)-FIND("[",_xlpm.txt)-1),_xlpm.nums,VALUE(_xlfn.TEXTSPLIT(_xlpm.inside,",")),_xlpm.mapped,_xlfn.XLOOKUP(_xlpm.nums,$X$2:$X$100,$Y$2:$Y$100),SUBSTITUTE(_xlpm.txt,"["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"]")),G26)</f>
        <v>Possibility of high value of W obtained in  tungsten oxide form through selective hydrometallurgical treatment [54]</v>
      </c>
      <c r="AG26" t="str" cm="1">
        <f t="array" ref="AG26">IFERROR(_xlfn.LET(_xlpm.txt,H26,_xlpm.inside,MID(_xlpm.txt,FIND("[",_xlpm.txt)+1,FIND("]",_xlpm.txt)-FIND("[",_xlpm.txt)-1),_xlpm.nums,VALUE(_xlfn.TEXTSPLIT(_xlpm.inside,",")),_xlpm.mapped,_xlfn.XLOOKUP(_xlpm.nums,$X$2:$X$100,$Y$2:$Y$100),SUBSTITUTE(_xlpm.txt,"["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"]")),H26)</f>
        <v>W concentrates, chemical precursors, aggregates [2]</v>
      </c>
      <c r="AH26" t="str" cm="1">
        <f t="array" ref="AH26">IFERROR(_xlfn.LET(_xlpm.txt,I26,_xlpm.inside,MID(_xlpm.txt,FIND("[",_xlpm.txt)+1,FIND("]",_xlpm.txt)-FIND("[",_xlpm.txt)-1),_xlpm.nums,VALUE(_xlfn.TEXTSPLIT(_xlpm.inside,",")),_xlpm.mapped,_xlfn.XLOOKUP(_xlpm.nums,$X$2:$X$100,$Y$2:$Y$100),SUBSTITUTE(_xlpm.txt,"["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"]")),I26)</f>
        <v>V, W [54]</v>
      </c>
      <c r="AI26" t="str" cm="1">
        <f t="array" ref="AI26">IFERROR(_xlfn.LET(_xlpm.txt,J26,_xlpm.inside,MID(_xlpm.txt,FIND("[",_xlpm.txt)+1,FIND("]",_xlpm.txt)-FIND("[",_xlpm.txt)-1),_xlpm.nums,VALUE(_xlfn.TEXTSPLIT(_xlpm.inside,",")),_xlpm.mapped,_xlfn.XLOOKUP(_xlpm.nums,$X$2:$X$100,$Y$2:$Y$100),SUBSTITUTE(_xlpm.txt,"["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"]")),J26)</f>
        <v>Sn [2]</v>
      </c>
      <c r="AJ26" t="str" cm="1">
        <f t="array" ref="AJ26">IFERROR(_xlfn.LET(_xlpm.txt,K26,_xlpm.inside,MID(_xlpm.txt,FIND("[",_xlpm.txt)+1,FIND("]",_xlpm.txt)-FIND("[",_xlpm.txt)-1),_xlpm.nums,VALUE(_xlfn.TEXTSPLIT(_xlpm.inside,",")),_xlpm.mapped,_xlfn.XLOOKUP(_xlpm.nums,$X$2:$X$100,$Y$2:$Y$100),SUBSTITUTE(_xlpm.txt,"["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"]")),K26)</f>
        <v>Silicate–based slag consisting of W and Ca oxides [38]</v>
      </c>
      <c r="AK26" t="str" cm="1">
        <f t="array" ref="AK26">IFERROR(_xlfn.LET(_xlpm.txt,L26,_xlpm.inside,MID(_xlpm.txt,FIND("[",_xlpm.txt)+1,FIND("]",_xlpm.txt)-FIND("[",_xlpm.txt)-1),_xlpm.nums,VALUE(_xlfn.TEXTSPLIT(_xlpm.inside,",")),_xlpm.mapped,_xlfn.XLOOKUP(_xlpm.nums,$X$2:$X$100,$Y$2:$Y$100),SUBSTITUTE(_xlpm.txt,"["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"]")),L26)</f>
        <v>Scheelite (CaWO4)
Wolframite residues [38]</v>
      </c>
      <c r="AL26" t="str" cm="1">
        <f t="array" ref="AL26">IFERROR(_xlfn.LET(_xlpm.txt,M26,_xlpm.inside,MID(_xlpm.txt,FIND("[",_xlpm.txt)+1,FIND("]",_xlpm.txt)-FIND("[",_xlpm.txt)-1),_xlpm.nums,VALUE(_xlfn.TEXTSPLIT(_xlpm.inside,",")),_xlpm.mapped,_xlfn.XLOOKUP(_xlpm.nums,$X$2:$X$100,$Y$2:$Y$100),SUBSTITUTE(_xlpm.txt,"["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"]")),M26)</f>
        <v>W, Fe, Mn, Si, Ca [38]</v>
      </c>
      <c r="AM26" t="str" cm="1">
        <f t="array" ref="AM26">IFERROR(_xlfn.LET(_xlpm.txt,N26,_xlpm.inside,MID(_xlpm.txt,FIND("[",_xlpm.txt)+1,FIND("]",_xlpm.txt)-FIND("[",_xlpm.txt)-1),_xlpm.nums,VALUE(_xlfn.TEXTSPLIT(_xlpm.inside,",")),_xlpm.mapped,_xlfn.XLOOKUP(_xlpm.nums,$X$2:$X$100,$Y$2:$Y$100),SUBSTITUTE(_xlpm.txt,"["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"]")),N26)</f>
        <v>Solid state: granular or vitrified solid, not ceramic monolith [2]</v>
      </c>
      <c r="AN26" t="str" cm="1">
        <f t="array" ref="AN26">IFERROR(_xlfn.LET(_xlpm.txt,O26,_xlpm.inside,MID(_xlpm.txt,FIND("[",_xlpm.txt)+1,FIND("]",_xlpm.txt)-FIND("[",_xlpm.txt)-1),_xlpm.nums,VALUE(_xlfn.TEXTSPLIT(_xlpm.inside,",")),_xlpm.mapped,_xlfn.XLOOKUP(_xlpm.nums,$X$2:$X$100,$Y$2:$Y$100),SUBSTITUTE(_xlpm.txt,"["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"]")),O26)</f>
        <v>Unavailable data</v>
      </c>
      <c r="AO26" t="str" cm="1">
        <f t="array" ref="AO26">IFERROR(_xlfn.LET(_xlpm.txt,P26,_xlpm.inside,MID(_xlpm.txt,FIND("[",_xlpm.txt)+1,FIND("]",_xlpm.txt)-FIND("[",_xlpm.txt)-1),_xlpm.nums,VALUE(_xlfn.TEXTSPLIT(_xlpm.inside,",")),_xlpm.mapped,_xlfn.XLOOKUP(_xlpm.nums,$X$2:$X$100,$Y$2:$Y$100),SUBSTITUTE(_xlpm.txt,"["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"]")),P26)</f>
        <v>Alkaline [2]</v>
      </c>
      <c r="AP26" t="str" cm="1">
        <f t="array" ref="AP26">IFERROR(_xlfn.LET(_xlpm.txt,Q26,_xlpm.inside,MID(_xlpm.txt,FIND("[",_xlpm.txt)+1,FIND("]",_xlpm.txt)-FIND("[",_xlpm.txt)-1),_xlpm.nums,VALUE(_xlfn.TEXTSPLIT(_xlpm.inside,",")),_xlpm.mapped,_xlfn.XLOOKUP(_xlpm.nums,$X$2:$X$100,$Y$2:$Y$100),SUBSTITUTE(_xlpm.txt,"["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"]")),Q26)</f>
        <v>Negligible: vetrified solid slag [2]</v>
      </c>
    </row>
    <row r="27" spans="1:42" ht="102" x14ac:dyDescent="0.2">
      <c r="A27" s="58" t="s">
        <v>231</v>
      </c>
      <c r="B27" s="18" t="s">
        <v>1321</v>
      </c>
      <c r="C27" s="18" t="s">
        <v>25</v>
      </c>
      <c r="D27" s="18" t="s">
        <v>1322</v>
      </c>
      <c r="E27" s="18" t="s">
        <v>1323</v>
      </c>
      <c r="F27" s="18" t="s">
        <v>1324</v>
      </c>
      <c r="G27" s="18" t="s">
        <v>1612</v>
      </c>
      <c r="H27" s="18" t="s">
        <v>1325</v>
      </c>
      <c r="I27" s="18" t="s">
        <v>237</v>
      </c>
      <c r="J27" s="18" t="s">
        <v>237</v>
      </c>
      <c r="K27" s="18" t="s">
        <v>1326</v>
      </c>
      <c r="L27" s="18" t="s">
        <v>1327</v>
      </c>
      <c r="M27" s="18" t="s">
        <v>1328</v>
      </c>
      <c r="N27" s="18" t="s">
        <v>1306</v>
      </c>
      <c r="O27" s="18" t="s">
        <v>235</v>
      </c>
      <c r="P27" s="18" t="s">
        <v>1329</v>
      </c>
      <c r="Q27" s="18" t="s">
        <v>1330</v>
      </c>
      <c r="X27" s="36">
        <v>31</v>
      </c>
      <c r="Y27" s="63">
        <v>53</v>
      </c>
      <c r="AA27" t="str" cm="1">
        <f t="array" ref="AA27">IFERROR(_xlfn.LET(_xlpm.txt,B27,_xlpm.inside,MID(_xlpm.txt,FIND("[",_xlpm.txt)+1,FIND("]",_xlpm.txt)-FIND("[",_xlpm.txt)-1),_xlpm.nums,VALUE(_xlfn.TEXTSPLIT(_xlpm.inside,",")),_xlpm.mapped,_xlfn.XLOOKUP(_xlpm.nums,$X$2:$X$100,$Y$2:$Y$100),SUBSTITUTE(_xlpm.txt,"["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"]")),B27)</f>
        <v>Molybdenite (MoS2) [54]</v>
      </c>
      <c r="AB27" t="str" cm="1">
        <f t="array" ref="AB27">IFERROR(_xlfn.LET(_xlpm.txt,C27,_xlpm.inside,MID(_xlpm.txt,FIND("[",_xlpm.txt)+1,FIND("]",_xlpm.txt)-FIND("[",_xlpm.txt)-1),_xlpm.nums,VALUE(_xlfn.TEXTSPLIT(_xlpm.inside,",")),_xlpm.mapped,_xlfn.XLOOKUP(_xlpm.nums,$X$2:$X$100,$Y$2:$Y$100),SUBSTITUTE(_xlpm.txt,"["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"]")),C27)</f>
        <v>Molybdenum tailings</v>
      </c>
      <c r="AC27" t="str" cm="1">
        <f t="array" ref="AC27">IFERROR(_xlfn.LET(_xlpm.txt,D27,_xlpm.inside,MID(_xlpm.txt,FIND("[",_xlpm.txt)+1,FIND("]",_xlpm.txt)-FIND("[",_xlpm.txt)-1),_xlpm.nums,VALUE(_xlfn.TEXTSPLIT(_xlpm.inside,",")),_xlpm.mapped,_xlfn.XLOOKUP(_xlpm.nums,$X$2:$X$100,$Y$2:$Y$100),SUBSTITUTE(_xlpm.txt,"["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"]")),D27)</f>
        <v>Mo beneficiation – Floatation [4,14]</v>
      </c>
      <c r="AD27" t="str" cm="1">
        <f t="array" ref="AD27">IFERROR(_xlfn.LET(_xlpm.txt,E27,_xlpm.inside,MID(_xlpm.txt,FIND("[",_xlpm.txt)+1,FIND("]",_xlpm.txt)-FIND("[",_xlpm.txt)-1),_xlpm.nums,VALUE(_xlfn.TEXTSPLIT(_xlpm.inside,",")),_xlpm.mapped,_xlfn.XLOOKUP(_xlpm.nums,$X$2:$X$100,$Y$2:$Y$100),SUBSTITUTE(_xlpm.txt,"["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"]")),E27)</f>
        <v>Re–flotation to recover residual MoS2 from fine tailings [52]
Hydrometallurgical leaching to dissolve molybdate species [27, 42]</v>
      </c>
      <c r="AE27" t="str" cm="1">
        <f t="array" ref="AE27">IFERROR(_xlfn.LET(_xlpm.txt,F27,_xlpm.inside,MID(_xlpm.txt,FIND("[",_xlpm.txt)+1,FIND("]",_xlpm.txt)-FIND("[",_xlpm.txt)-1),_xlpm.nums,VALUE(_xlfn.TEXTSPLIT(_xlpm.inside,",")),_xlpm.mapped,_xlfn.XLOOKUP(_xlpm.nums,$X$2:$X$100,$Y$2:$Y$100),SUBSTITUTE(_xlpm.txt,"["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"]")),F27)</f>
        <v>Low Mo grades, issues regarding economic feasibility [54]</v>
      </c>
      <c r="AF27" t="str" cm="1">
        <f t="array" ref="AF27">IFERROR(_xlfn.LET(_xlpm.txt,G27,_xlpm.inside,MID(_xlpm.txt,FIND("[",_xlpm.txt)+1,FIND("]",_xlpm.txt)-FIND("[",_xlpm.txt)-1),_xlpm.nums,VALUE(_xlfn.TEXTSPLIT(_xlpm.inside,",")),_xlpm.mapped,_xlfn.XLOOKUP(_xlpm.nums,$X$2:$X$100,$Y$2:$Y$100),SUBSTITUTE(_xlpm.txt,"["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"]")),G27)</f>
        <v>Mo recovery is a primary economic leverage for reprocessing in sulfide mineral systems [54]</v>
      </c>
      <c r="AG27" t="str" cm="1">
        <f t="array" ref="AG27">IFERROR(_xlfn.LET(_xlpm.txt,H27,_xlpm.inside,MID(_xlpm.txt,FIND("[",_xlpm.txt)+1,FIND("]",_xlpm.txt)-FIND("[",_xlpm.txt)-1),_xlpm.nums,VALUE(_xlfn.TEXTSPLIT(_xlpm.inside,",")),_xlpm.mapped,_xlfn.XLOOKUP(_xlpm.nums,$X$2:$X$100,$Y$2:$Y$100),SUBSTITUTE(_xlpm.txt,"["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"]")),H27)</f>
        <v>Cement fillers, refractory ceramics, aggregates [54]</v>
      </c>
      <c r="AH27" t="str" cm="1">
        <f t="array" ref="AH27">IFERROR(_xlfn.LET(_xlpm.txt,I27,_xlpm.inside,MID(_xlpm.txt,FIND("[",_xlpm.txt)+1,FIND("]",_xlpm.txt)-FIND("[",_xlpm.txt)-1),_xlpm.nums,VALUE(_xlfn.TEXTSPLIT(_xlpm.inside,",")),_xlpm.mapped,_xlfn.XLOOKUP(_xlpm.nums,$X$2:$X$100,$Y$2:$Y$100),SUBSTITUTE(_xlpm.txt,"["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"]")),I27)</f>
        <v>Not applicable</v>
      </c>
      <c r="AI27" t="str" cm="1">
        <f t="array" ref="AI27">IFERROR(_xlfn.LET(_xlpm.txt,J27,_xlpm.inside,MID(_xlpm.txt,FIND("[",_xlpm.txt)+1,FIND("]",_xlpm.txt)-FIND("[",_xlpm.txt)-1),_xlpm.nums,VALUE(_xlfn.TEXTSPLIT(_xlpm.inside,",")),_xlpm.mapped,_xlfn.XLOOKUP(_xlpm.nums,$X$2:$X$100,$Y$2:$Y$100),SUBSTITUTE(_xlpm.txt,"["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"]")),J27)</f>
        <v>Not applicable</v>
      </c>
      <c r="AJ27" t="str" cm="1">
        <f t="array" ref="AJ27">IFERROR(_xlfn.LET(_xlpm.txt,K27,_xlpm.inside,MID(_xlpm.txt,FIND("[",_xlpm.txt)+1,FIND("]",_xlpm.txt)-FIND("[",_xlpm.txt)-1),_xlpm.nums,VALUE(_xlfn.TEXTSPLIT(_xlpm.inside,",")),_xlpm.mapped,_xlfn.XLOOKUP(_xlpm.nums,$X$2:$X$100,$Y$2:$Y$100),SUBSTITUTE(_xlpm.txt,"["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"]")),K27)</f>
        <v>SiO2​ (32.1–73.0%)
Al2​O3​ (3.9–13.50%)
Fe2​O3​ (2.3–27.4%)
CaO (3.5–19.0%) [14]</v>
      </c>
      <c r="AK27" t="str" cm="1">
        <f t="array" ref="AK27">IFERROR(_xlfn.LET(_xlpm.txt,L27,_xlpm.inside,MID(_xlpm.txt,FIND("[",_xlpm.txt)+1,FIND("]",_xlpm.txt)-FIND("[",_xlpm.txt)-1),_xlpm.nums,VALUE(_xlfn.TEXTSPLIT(_xlpm.inside,",")),_xlpm.mapped,_xlfn.XLOOKUP(_xlpm.nums,$X$2:$X$100,$Y$2:$Y$100),SUBSTITUTE(_xlpm.txt,"["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"]")),L27)</f>
        <v>Quartz (SiO2​)
Tridymite
Rutile (TiO2​)
Diopside
Pyrite (FeS2​)
Phlogopite [14]</v>
      </c>
      <c r="AL27" t="str" cm="1">
        <f t="array" ref="AL27">IFERROR(_xlfn.LET(_xlpm.txt,M27,_xlpm.inside,MID(_xlpm.txt,FIND("[",_xlpm.txt)+1,FIND("]",_xlpm.txt)-FIND("[",_xlpm.txt)-1),_xlpm.nums,VALUE(_xlfn.TEXTSPLIT(_xlpm.inside,",")),_xlpm.mapped,_xlfn.XLOOKUP(_xlpm.nums,$X$2:$X$100,$Y$2:$Y$100),SUBSTITUTE(_xlpm.txt,"["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"]")),M27)</f>
        <v>Si, Al, Fe, Ca, Mo, S, Ti, Mg, K [14]</v>
      </c>
      <c r="AM27" t="str" cm="1">
        <f t="array" ref="AM27">IFERROR(_xlfn.LET(_xlpm.txt,N27,_xlpm.inside,MID(_xlpm.txt,FIND("[",_xlpm.txt)+1,FIND("]",_xlpm.txt)-FIND("[",_xlpm.txt)-1),_xlpm.nums,VALUE(_xlfn.TEXTSPLIT(_xlpm.inside,",")),_xlpm.mapped,_xlfn.XLOOKUP(_xlpm.nums,$X$2:$X$100,$Y$2:$Y$100),SUBSTITUTE(_xlpm.txt,"["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"]")),N27)</f>
        <v>Solid state: fine particulate material or slurry [54]</v>
      </c>
      <c r="AN27" t="str" cm="1">
        <f t="array" ref="AN27">IFERROR(_xlfn.LET(_xlpm.txt,O27,_xlpm.inside,MID(_xlpm.txt,FIND("[",_xlpm.txt)+1,FIND("]",_xlpm.txt)-FIND("[",_xlpm.txt)-1),_xlpm.nums,VALUE(_xlfn.TEXTSPLIT(_xlpm.inside,",")),_xlpm.mapped,_xlfn.XLOOKUP(_xlpm.nums,$X$2:$X$100,$Y$2:$Y$100),SUBSTITUTE(_xlpm.txt,"["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"]")),O27)</f>
        <v>Unavailable data</v>
      </c>
      <c r="AO27" t="str" cm="1">
        <f t="array" ref="AO27">IFERROR(_xlfn.LET(_xlpm.txt,P27,_xlpm.inside,MID(_xlpm.txt,FIND("[",_xlpm.txt)+1,FIND("]",_xlpm.txt)-FIND("[",_xlpm.txt)-1),_xlpm.nums,VALUE(_xlfn.TEXTSPLIT(_xlpm.inside,",")),_xlpm.mapped,_xlfn.XLOOKUP(_xlpm.nums,$X$2:$X$100,$Y$2:$Y$100),SUBSTITUTE(_xlpm.txt,"["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"]")),P27)</f>
        <v>Near neutral–slightly alkaline [14]</v>
      </c>
      <c r="AP27" t="str" cm="1">
        <f t="array" ref="AP27">IFERROR(_xlfn.LET(_xlpm.txt,Q27,_xlpm.inside,MID(_xlpm.txt,FIND("[",_xlpm.txt)+1,FIND("]",_xlpm.txt)-FIND("[",_xlpm.txt)-1),_xlpm.nums,VALUE(_xlfn.TEXTSPLIT(_xlpm.inside,",")),_xlpm.mapped,_xlfn.XLOOKUP(_xlpm.nums,$X$2:$X$100,$Y$2:$Y$100),SUBSTITUTE(_xlpm.txt,"["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"]")),Q27)</f>
        <v>40.0–60.0%: typically mining slurry moisture range [54]</v>
      </c>
    </row>
    <row r="28" spans="1:42" ht="85" x14ac:dyDescent="0.2">
      <c r="A28" s="58" t="s">
        <v>231</v>
      </c>
      <c r="B28" s="18" t="s">
        <v>1321</v>
      </c>
      <c r="C28" s="18" t="s">
        <v>26</v>
      </c>
      <c r="D28" s="18" t="s">
        <v>1331</v>
      </c>
      <c r="E28" s="18" t="s">
        <v>1332</v>
      </c>
      <c r="F28" s="18" t="s">
        <v>1333</v>
      </c>
      <c r="G28" s="18" t="s">
        <v>1631</v>
      </c>
      <c r="H28" s="18" t="s">
        <v>1334</v>
      </c>
      <c r="I28" s="18" t="s">
        <v>237</v>
      </c>
      <c r="J28" s="18" t="s">
        <v>237</v>
      </c>
      <c r="K28" s="18" t="s">
        <v>1335</v>
      </c>
      <c r="L28" s="18" t="s">
        <v>1336</v>
      </c>
      <c r="M28" s="20" t="s">
        <v>1337</v>
      </c>
      <c r="N28" s="20" t="s">
        <v>1338</v>
      </c>
      <c r="O28" s="18" t="s">
        <v>235</v>
      </c>
      <c r="P28" s="18" t="s">
        <v>1339</v>
      </c>
      <c r="Q28" s="18" t="s">
        <v>1340</v>
      </c>
      <c r="X28" s="36">
        <v>32</v>
      </c>
      <c r="Y28" s="63">
        <v>21</v>
      </c>
      <c r="AA28" t="str" cm="1">
        <f t="array" ref="AA28">IFERROR(_xlfn.LET(_xlpm.txt,B28,_xlpm.inside,MID(_xlpm.txt,FIND("[",_xlpm.txt)+1,FIND("]",_xlpm.txt)-FIND("[",_xlpm.txt)-1),_xlpm.nums,VALUE(_xlfn.TEXTSPLIT(_xlpm.inside,",")),_xlpm.mapped,_xlfn.XLOOKUP(_xlpm.nums,$X$2:$X$100,$Y$2:$Y$100),SUBSTITUTE(_xlpm.txt,"["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"]")),B28)</f>
        <v>Molybdenite (MoS2) [54]</v>
      </c>
      <c r="AB28" t="str" cm="1">
        <f t="array" ref="AB28">IFERROR(_xlfn.LET(_xlpm.txt,C28,_xlpm.inside,MID(_xlpm.txt,FIND("[",_xlpm.txt)+1,FIND("]",_xlpm.txt)-FIND("[",_xlpm.txt)-1),_xlpm.nums,VALUE(_xlfn.TEXTSPLIT(_xlpm.inside,",")),_xlpm.mapped,_xlfn.XLOOKUP(_xlpm.nums,$X$2:$X$100,$Y$2:$Y$100),SUBSTITUTE(_xlpm.txt,"["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"]")),C28)</f>
        <v>Molybdenum roaster residues</v>
      </c>
      <c r="AC28" t="str" cm="1">
        <f t="array" ref="AC28">IFERROR(_xlfn.LET(_xlpm.txt,D28,_xlpm.inside,MID(_xlpm.txt,FIND("[",_xlpm.txt)+1,FIND("]",_xlpm.txt)-FIND("[",_xlpm.txt)-1),_xlpm.nums,VALUE(_xlfn.TEXTSPLIT(_xlpm.inside,",")),_xlpm.mapped,_xlfn.XLOOKUP(_xlpm.nums,$X$2:$X$100,$Y$2:$Y$100),SUBSTITUTE(_xlpm.txt,"["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"]")),D28)</f>
        <v>Oxidative roasting of Mo concentrates [36,54]</v>
      </c>
      <c r="AD28" t="str" cm="1">
        <f t="array" ref="AD28">IFERROR(_xlfn.LET(_xlpm.txt,E28,_xlpm.inside,MID(_xlpm.txt,FIND("[",_xlpm.txt)+1,FIND("]",_xlpm.txt)-FIND("[",_xlpm.txt)-1),_xlpm.nums,VALUE(_xlfn.TEXTSPLIT(_xlpm.inside,",")),_xlpm.mapped,_xlfn.XLOOKUP(_xlpm.nums,$X$2:$X$100,$Y$2:$Y$100),SUBSTITUTE(_xlpm.txt,"["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"]")),E28)</f>
        <v>Controlled oxidative roasting to convert MoS2 to MoO3 [36]
Leaching to produce ammonium molybdate or Mo–bearing solutions [49]</v>
      </c>
      <c r="AE28" t="str" cm="1">
        <f t="array" ref="AE28">IFERROR(_xlfn.LET(_xlpm.txt,F28,_xlpm.inside,MID(_xlpm.txt,FIND("[",_xlpm.txt)+1,FIND("]",_xlpm.txt)-FIND("[",_xlpm.txt)-1),_xlpm.nums,VALUE(_xlfn.TEXTSPLIT(_xlpm.inside,",")),_xlpm.mapped,_xlfn.XLOOKUP(_xlpm.nums,$X$2:$X$100,$Y$2:$Y$100),SUBSTITUTE(_xlpm.txt,"["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"]")),F28)</f>
        <v>Variability in oxidation state, controlled leaching required [47]</v>
      </c>
      <c r="AF28" t="str" cm="1">
        <f t="array" ref="AF28">IFERROR(_xlfn.LET(_xlpm.txt,G28,_xlpm.inside,MID(_xlpm.txt,FIND("[",_xlpm.txt)+1,FIND("]",_xlpm.txt)-FIND("[",_xlpm.txt)-1),_xlpm.nums,VALUE(_xlfn.TEXTSPLIT(_xlpm.inside,",")),_xlpm.mapped,_xlfn.XLOOKUP(_xlpm.nums,$X$2:$X$100,$Y$2:$Y$100),SUBSTITUTE(_xlpm.txt,"["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"]")),G28)</f>
        <v>Mo recovery from roaster residue provide high economic return rate [54]</v>
      </c>
      <c r="AG28" t="str" cm="1">
        <f t="array" ref="AG28">IFERROR(_xlfn.LET(_xlpm.txt,H28,_xlpm.inside,MID(_xlpm.txt,FIND("[",_xlpm.txt)+1,FIND("]",_xlpm.txt)-FIND("[",_xlpm.txt)-1),_xlpm.nums,VALUE(_xlfn.TEXTSPLIT(_xlpm.inside,",")),_xlpm.mapped,_xlfn.XLOOKUP(_xlpm.nums,$X$2:$X$100,$Y$2:$Y$100),SUBSTITUTE(_xlpm.txt,"["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"]")),H28)</f>
        <v>FeMO, Mo powders, ammonium molybdates [47]</v>
      </c>
      <c r="AH28" t="str" cm="1">
        <f t="array" ref="AH28">IFERROR(_xlfn.LET(_xlpm.txt,I28,_xlpm.inside,MID(_xlpm.txt,FIND("[",_xlpm.txt)+1,FIND("]",_xlpm.txt)-FIND("[",_xlpm.txt)-1),_xlpm.nums,VALUE(_xlfn.TEXTSPLIT(_xlpm.inside,",")),_xlpm.mapped,_xlfn.XLOOKUP(_xlpm.nums,$X$2:$X$100,$Y$2:$Y$100),SUBSTITUTE(_xlpm.txt,"["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"]")),I28)</f>
        <v>Not applicable</v>
      </c>
      <c r="AI28" t="str" cm="1">
        <f t="array" ref="AI28">IFERROR(_xlfn.LET(_xlpm.txt,J28,_xlpm.inside,MID(_xlpm.txt,FIND("[",_xlpm.txt)+1,FIND("]",_xlpm.txt)-FIND("[",_xlpm.txt)-1),_xlpm.nums,VALUE(_xlfn.TEXTSPLIT(_xlpm.inside,",")),_xlpm.mapped,_xlfn.XLOOKUP(_xlpm.nums,$X$2:$X$100,$Y$2:$Y$100),SUBSTITUTE(_xlpm.txt,"["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"]")),J28)</f>
        <v>Not applicable</v>
      </c>
      <c r="AJ28" t="str" cm="1">
        <f t="array" ref="AJ28">IFERROR(_xlfn.LET(_xlpm.txt,K28,_xlpm.inside,MID(_xlpm.txt,FIND("[",_xlpm.txt)+1,FIND("]",_xlpm.txt)-FIND("[",_xlpm.txt)-1),_xlpm.nums,VALUE(_xlfn.TEXTSPLIT(_xlpm.inside,",")),_xlpm.mapped,_xlfn.XLOOKUP(_xlpm.nums,$X$2:$X$100,$Y$2:$Y$100),SUBSTITUTE(_xlpm.txt,"["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"]")),K28)</f>
        <v>Mo (154 mg/kg) in steel slags
Mo (~10%) in roasting/catalyst residues (industrial level) [54]</v>
      </c>
      <c r="AK28" t="str" cm="1">
        <f t="array" ref="AK28">IFERROR(_xlfn.LET(_xlpm.txt,L28,_xlpm.inside,MID(_xlpm.txt,FIND("[",_xlpm.txt)+1,FIND("]",_xlpm.txt)-FIND("[",_xlpm.txt)-1),_xlpm.nums,VALUE(_xlfn.TEXTSPLIT(_xlpm.inside,",")),_xlpm.mapped,_xlfn.XLOOKUP(_xlpm.nums,$X$2:$X$100,$Y$2:$Y$100),SUBSTITUTE(_xlpm.txt,"["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"]")),L28)</f>
        <v>Iron vanadium oxide (FeV2​O4​)
(Mg,Ni)O mixed oxides
Molybdates ((MoO4)2−​) [54,2]</v>
      </c>
      <c r="AL28" t="str" cm="1">
        <f t="array" ref="AL28">IFERROR(_xlfn.LET(_xlpm.txt,M28,_xlpm.inside,MID(_xlpm.txt,FIND("[",_xlpm.txt)+1,FIND("]",_xlpm.txt)-FIND("[",_xlpm.txt)-1),_xlpm.nums,VALUE(_xlfn.TEXTSPLIT(_xlpm.inside,",")),_xlpm.mapped,_xlfn.XLOOKUP(_xlpm.nums,$X$2:$X$100,$Y$2:$Y$100),SUBSTITUTE(_xlpm.txt,"["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"]")),M28)</f>
        <v>Mo, Fe, V, Mg, Ni, Al, S, Co, O [54]</v>
      </c>
      <c r="AM28" t="str" cm="1">
        <f t="array" ref="AM28">IFERROR(_xlfn.LET(_xlpm.txt,N28,_xlpm.inside,MID(_xlpm.txt,FIND("[",_xlpm.txt)+1,FIND("]",_xlpm.txt)-FIND("[",_xlpm.txt)-1),_xlpm.nums,VALUE(_xlfn.TEXTSPLIT(_xlpm.inside,",")),_xlpm.mapped,_xlfn.XLOOKUP(_xlpm.nums,$X$2:$X$100,$Y$2:$Y$100),SUBSTITUTE(_xlpm.txt,"["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"]")),N28)</f>
        <v>Solid state: particulate powder resulting from sulfide roasting process [47]</v>
      </c>
      <c r="AN28" t="str" cm="1">
        <f t="array" ref="AN28">IFERROR(_xlfn.LET(_xlpm.txt,O28,_xlpm.inside,MID(_xlpm.txt,FIND("[",_xlpm.txt)+1,FIND("]",_xlpm.txt)-FIND("[",_xlpm.txt)-1),_xlpm.nums,VALUE(_xlfn.TEXTSPLIT(_xlpm.inside,",")),_xlpm.mapped,_xlfn.XLOOKUP(_xlpm.nums,$X$2:$X$100,$Y$2:$Y$100),SUBSTITUTE(_xlpm.txt,"["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"]")),O28)</f>
        <v>Unavailable data</v>
      </c>
      <c r="AO28" t="str" cm="1">
        <f t="array" ref="AO28">IFERROR(_xlfn.LET(_xlpm.txt,P28,_xlpm.inside,MID(_xlpm.txt,FIND("[",_xlpm.txt)+1,FIND("]",_xlpm.txt)-FIND("[",_xlpm.txt)-1),_xlpm.nums,VALUE(_xlfn.TEXTSPLIT(_xlpm.inside,",")),_xlpm.mapped,_xlfn.XLOOKUP(_xlpm.nums,$X$2:$X$100,$Y$2:$Y$100),SUBSTITUTE(_xlpm.txt,"["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"]")),P28)</f>
        <v>Near–neutral: solid particulate after oxidative roasting [47]</v>
      </c>
      <c r="AP28" t="str" cm="1">
        <f t="array" ref="AP28">IFERROR(_xlfn.LET(_xlpm.txt,Q28,_xlpm.inside,MID(_xlpm.txt,FIND("[",_xlpm.txt)+1,FIND("]",_xlpm.txt)-FIND("[",_xlpm.txt)-1),_xlpm.nums,VALUE(_xlfn.TEXTSPLIT(_xlpm.inside,",")),_xlpm.mapped,_xlfn.XLOOKUP(_xlpm.nums,$X$2:$X$100,$Y$2:$Y$100),SUBSTITUTE(_xlpm.txt,"["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"]")),Q28)</f>
        <v>Low: solid particulate remaining after oxidative roasting [47]</v>
      </c>
    </row>
    <row r="29" spans="1:42" ht="102" x14ac:dyDescent="0.2">
      <c r="A29" s="17" t="s">
        <v>27</v>
      </c>
      <c r="B29" s="18" t="s">
        <v>1341</v>
      </c>
      <c r="C29" s="18" t="s">
        <v>28</v>
      </c>
      <c r="D29" s="18" t="s">
        <v>1342</v>
      </c>
      <c r="E29" s="18" t="s">
        <v>1343</v>
      </c>
      <c r="F29" s="18" t="s">
        <v>1344</v>
      </c>
      <c r="G29" s="18" t="s">
        <v>1630</v>
      </c>
      <c r="H29" s="18" t="s">
        <v>1345</v>
      </c>
      <c r="I29" s="18" t="s">
        <v>237</v>
      </c>
      <c r="J29" s="18" t="s">
        <v>237</v>
      </c>
      <c r="K29" s="18" t="s">
        <v>1346</v>
      </c>
      <c r="L29" s="18" t="s">
        <v>1347</v>
      </c>
      <c r="M29" s="18" t="s">
        <v>1348</v>
      </c>
      <c r="N29" s="18" t="s">
        <v>1349</v>
      </c>
      <c r="O29" s="18" t="s">
        <v>235</v>
      </c>
      <c r="P29" s="18" t="s">
        <v>1350</v>
      </c>
      <c r="Q29" s="18" t="s">
        <v>1351</v>
      </c>
      <c r="X29" s="36">
        <v>33</v>
      </c>
      <c r="Y29" s="64">
        <v>18</v>
      </c>
      <c r="AA29" t="str" cm="1">
        <f t="array" ref="AA29">IFERROR(_xlfn.LET(_xlpm.txt,B29,_xlpm.inside,MID(_xlpm.txt,FIND("[",_xlpm.txt)+1,FIND("]",_xlpm.txt)-FIND("[",_xlpm.txt)-1),_xlpm.nums,VALUE(_xlfn.TEXTSPLIT(_xlpm.inside,",")),_xlpm.mapped,_xlfn.XLOOKUP(_xlpm.nums,$X$2:$X$100,$Y$2:$Y$100),SUBSTITUTE(_xlpm.txt,"["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"]")),B29)</f>
        <v>Chromite (FeCr2O4) [54,51,18]</v>
      </c>
      <c r="AB29" t="str" cm="1">
        <f t="array" ref="AB29">IFERROR(_xlfn.LET(_xlpm.txt,C29,_xlpm.inside,MID(_xlpm.txt,FIND("[",_xlpm.txt)+1,FIND("]",_xlpm.txt)-FIND("[",_xlpm.txt)-1),_xlpm.nums,VALUE(_xlfn.TEXTSPLIT(_xlpm.inside,",")),_xlpm.mapped,_xlfn.XLOOKUP(_xlpm.nums,$X$2:$X$100,$Y$2:$Y$100),SUBSTITUTE(_xlpm.txt,"["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"]")),C29)</f>
        <v>Chromite ore processing residues (COPR)</v>
      </c>
      <c r="AC29" t="str" cm="1">
        <f t="array" ref="AC29">IFERROR(_xlfn.LET(_xlpm.txt,D29,_xlpm.inside,MID(_xlpm.txt,FIND("[",_xlpm.txt)+1,FIND("]",_xlpm.txt)-FIND("[",_xlpm.txt)-1),_xlpm.nums,VALUE(_xlfn.TEXTSPLIT(_xlpm.inside,",")),_xlpm.mapped,_xlfn.XLOOKUP(_xlpm.nums,$X$2:$X$100,$Y$2:$Y$100),SUBSTITUTE(_xlpm.txt,"["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"]")),D29)</f>
        <v>Chromite alkaline roasting or chemical processing [54]</v>
      </c>
      <c r="AD29" t="str" cm="1">
        <f t="array" ref="AD29">IFERROR(_xlfn.LET(_xlpm.txt,E29,_xlpm.inside,MID(_xlpm.txt,FIND("[",_xlpm.txt)+1,FIND("]",_xlpm.txt)-FIND("[",_xlpm.txt)-1),_xlpm.nums,VALUE(_xlfn.TEXTSPLIT(_xlpm.inside,",")),_xlpm.mapped,_xlfn.XLOOKUP(_xlpm.nums,$X$2:$X$100,$Y$2:$Y$100),SUBSTITUTE(_xlpm.txt,"["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"]")),E29)</f>
        <v>Cr(VI) chemical reduction to Cr (III) using reductants []
Alkaline roasting to liberate Cr for selective extraction [49]
Selective leching for extraction of Cr and Fe from detoxified material [21]</v>
      </c>
      <c r="AE29" t="str" cm="1">
        <f t="array" ref="AE29">IFERROR(_xlfn.LET(_xlpm.txt,F29,_xlpm.inside,MID(_xlpm.txt,FIND("[",_xlpm.txt)+1,FIND("]",_xlpm.txt)-FIND("[",_xlpm.txt)-1),_xlpm.nums,VALUE(_xlfn.TEXTSPLIT(_xlpm.inside,",")),_xlpm.mapped,_xlfn.XLOOKUP(_xlpm.nums,$X$2:$X$100,$Y$2:$Y$100),SUBSTITUTE(_xlpm.txt,"["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"]")),F29)</f>
        <v>Cr (VI) toxicity hence requires reduction to Cr (III) [18]</v>
      </c>
      <c r="AF29" t="str" cm="1">
        <f t="array" ref="AF29">IFERROR(_xlfn.LET(_xlpm.txt,G29,_xlpm.inside,MID(_xlpm.txt,FIND("[",_xlpm.txt)+1,FIND("]",_xlpm.txt)-FIND("[",_xlpm.txt)-1),_xlpm.nums,VALUE(_xlfn.TEXTSPLIT(_xlpm.inside,",")),_xlpm.mapped,_xlfn.XLOOKUP(_xlpm.nums,$X$2:$X$100,$Y$2:$Y$100),SUBSTITUTE(_xlpm.txt,"["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"]")),G29)</f>
        <v>High cost for detoxitification of Cr (VI) are overpowered by thee high market value of recovered Cr concnetrates [54]</v>
      </c>
      <c r="AG29" t="str" cm="1">
        <f t="array" ref="AG29">IFERROR(_xlfn.LET(_xlpm.txt,H29,_xlpm.inside,MID(_xlpm.txt,FIND("[",_xlpm.txt)+1,FIND("]",_xlpm.txt)-FIND("[",_xlpm.txt)-1),_xlpm.nums,VALUE(_xlfn.TEXTSPLIT(_xlpm.inside,",")),_xlpm.mapped,_xlfn.XLOOKUP(_xlpm.nums,$X$2:$X$100,$Y$2:$Y$100),SUBSTITUTE(_xlpm.txt,"["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"]")),H29)</f>
        <v>Cr concentrates, ferrochromate alloy, alkali chromates, detoxificated aggregates [54,18]</v>
      </c>
      <c r="AH29" t="str" cm="1">
        <f t="array" ref="AH29">IFERROR(_xlfn.LET(_xlpm.txt,I29,_xlpm.inside,MID(_xlpm.txt,FIND("[",_xlpm.txt)+1,FIND("]",_xlpm.txt)-FIND("[",_xlpm.txt)-1),_xlpm.nums,VALUE(_xlfn.TEXTSPLIT(_xlpm.inside,",")),_xlpm.mapped,_xlfn.XLOOKUP(_xlpm.nums,$X$2:$X$100,$Y$2:$Y$100),SUBSTITUTE(_xlpm.txt,"["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"]")),I29)</f>
        <v>Not applicable</v>
      </c>
      <c r="AI29" t="str" cm="1">
        <f t="array" ref="AI29">IFERROR(_xlfn.LET(_xlpm.txt,J29,_xlpm.inside,MID(_xlpm.txt,FIND("[",_xlpm.txt)+1,FIND("]",_xlpm.txt)-FIND("[",_xlpm.txt)-1),_xlpm.nums,VALUE(_xlfn.TEXTSPLIT(_xlpm.inside,",")),_xlpm.mapped,_xlfn.XLOOKUP(_xlpm.nums,$X$2:$X$100,$Y$2:$Y$100),SUBSTITUTE(_xlpm.txt,"["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"]")),J29)</f>
        <v>Not applicable</v>
      </c>
      <c r="AJ29" t="str" cm="1">
        <f t="array" ref="AJ29">IFERROR(_xlfn.LET(_xlpm.txt,K29,_xlpm.inside,MID(_xlpm.txt,FIND("[",_xlpm.txt)+1,FIND("]",_xlpm.txt)-FIND("[",_xlpm.txt)-1),_xlpm.nums,VALUE(_xlfn.TEXTSPLIT(_xlpm.inside,",")),_xlpm.mapped,_xlfn.XLOOKUP(_xlpm.nums,$X$2:$X$100,$Y$2:$Y$100),SUBSTITUTE(_xlpm.txt,"["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"]")),K29)</f>
        <v>Fe2O3
MgO
Al2O3
SiO2
Hazardous Cr (VI) [54]</v>
      </c>
      <c r="AK29" t="str" cm="1">
        <f t="array" ref="AK29">IFERROR(_xlfn.LET(_xlpm.txt,L29,_xlpm.inside,MID(_xlpm.txt,FIND("[",_xlpm.txt)+1,FIND("]",_xlpm.txt)-FIND("[",_xlpm.txt)-1),_xlpm.nums,VALUE(_xlfn.TEXTSPLIT(_xlpm.inside,",")),_xlpm.mapped,_xlfn.XLOOKUP(_xlpm.nums,$X$2:$X$100,$Y$2:$Y$100),SUBSTITUTE(_xlpm.txt,"["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"]")),L29)</f>
        <v>Brownmillerite
Hydrocalumite
Ettringite
Chromite spinel [54]</v>
      </c>
      <c r="AL29" t="str" cm="1">
        <f t="array" ref="AL29">IFERROR(_xlfn.LET(_xlpm.txt,M29,_xlpm.inside,MID(_xlpm.txt,FIND("[",_xlpm.txt)+1,FIND("]",_xlpm.txt)-FIND("[",_xlpm.txt)-1),_xlpm.nums,VALUE(_xlfn.TEXTSPLIT(_xlpm.inside,",")),_xlpm.mapped,_xlfn.XLOOKUP(_xlpm.nums,$X$2:$X$100,$Y$2:$Y$100),SUBSTITUTE(_xlpm.txt,"["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"]")),M29)</f>
        <v>Fe, Mg, Al, Si, Cr, Ca, S, O [54]</v>
      </c>
      <c r="AM29" t="str" cm="1">
        <f t="array" ref="AM29">IFERROR(_xlfn.LET(_xlpm.txt,N29,_xlpm.inside,MID(_xlpm.txt,FIND("[",_xlpm.txt)+1,FIND("]",_xlpm.txt)-FIND("[",_xlpm.txt)-1),_xlpm.nums,VALUE(_xlfn.TEXTSPLIT(_xlpm.inside,",")),_xlpm.mapped,_xlfn.XLOOKUP(_xlpm.nums,$X$2:$X$100,$Y$2:$Y$100),SUBSTITUTE(_xlpm.txt,"["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"]")),N29)</f>
        <v>Solid state: typically granular or fine particulate [18]</v>
      </c>
      <c r="AN29" t="str" cm="1">
        <f t="array" ref="AN29">IFERROR(_xlfn.LET(_xlpm.txt,O29,_xlpm.inside,MID(_xlpm.txt,FIND("[",_xlpm.txt)+1,FIND("]",_xlpm.txt)-FIND("[",_xlpm.txt)-1),_xlpm.nums,VALUE(_xlfn.TEXTSPLIT(_xlpm.inside,",")),_xlpm.mapped,_xlfn.XLOOKUP(_xlpm.nums,$X$2:$X$100,$Y$2:$Y$100),SUBSTITUTE(_xlpm.txt,"["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"]")),O29)</f>
        <v>Unavailable data</v>
      </c>
      <c r="AO29" t="str" cm="1">
        <f t="array" ref="AO29">IFERROR(_xlfn.LET(_xlpm.txt,P29,_xlpm.inside,MID(_xlpm.txt,FIND("[",_xlpm.txt)+1,FIND("]",_xlpm.txt)-FIND("[",_xlpm.txt)-1),_xlpm.nums,VALUE(_xlfn.TEXTSPLIT(_xlpm.inside,",")),_xlpm.mapped,_xlfn.XLOOKUP(_xlpm.nums,$X$2:$X$100,$Y$2:$Y$100),SUBSTITUTE(_xlpm.txt,"["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"]")),P29)</f>
        <v>Extremely alkaline: with high Cr (VI) risk in leaching process) [4]</v>
      </c>
      <c r="AP29" t="str" cm="1">
        <f t="array" ref="AP29">IFERROR(_xlfn.LET(_xlpm.txt,Q29,_xlpm.inside,MID(_xlpm.txt,FIND("[",_xlpm.txt)+1,FIND("]",_xlpm.txt)-FIND("[",_xlpm.txt)-1),_xlpm.nums,VALUE(_xlfn.TEXTSPLIT(_xlpm.inside,",")),_xlpm.mapped,_xlfn.XLOOKUP(_xlpm.nums,$X$2:$X$100,$Y$2:$Y$100),SUBSTITUTE(_xlpm.txt,"["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"]")),Q29)</f>
        <v>Vary: solid waste found in industrial stockpile [18]</v>
      </c>
    </row>
    <row r="30" spans="1:42" ht="68" x14ac:dyDescent="0.2">
      <c r="A30" s="58" t="s">
        <v>29</v>
      </c>
      <c r="B30" s="18" t="s">
        <v>1352</v>
      </c>
      <c r="C30" s="18" t="s">
        <v>30</v>
      </c>
      <c r="D30" s="18" t="s">
        <v>1353</v>
      </c>
      <c r="E30" s="18" t="s">
        <v>1354</v>
      </c>
      <c r="F30" s="18" t="s">
        <v>1355</v>
      </c>
      <c r="G30" s="18" t="s">
        <v>1629</v>
      </c>
      <c r="H30" s="18" t="s">
        <v>1356</v>
      </c>
      <c r="I30" s="18" t="s">
        <v>237</v>
      </c>
      <c r="J30" s="18" t="s">
        <v>1278</v>
      </c>
      <c r="K30" s="18" t="s">
        <v>1357</v>
      </c>
      <c r="L30" s="18" t="s">
        <v>1358</v>
      </c>
      <c r="M30" s="18" t="s">
        <v>1359</v>
      </c>
      <c r="N30" s="18" t="s">
        <v>1360</v>
      </c>
      <c r="O30" s="18" t="s">
        <v>235</v>
      </c>
      <c r="P30" s="18" t="s">
        <v>1361</v>
      </c>
      <c r="Q30" s="18" t="s">
        <v>1362</v>
      </c>
      <c r="X30" s="36">
        <v>34</v>
      </c>
      <c r="Y30" s="63">
        <v>49</v>
      </c>
      <c r="AA30" t="str" cm="1">
        <f t="array" ref="AA30">IFERROR(_xlfn.LET(_xlpm.txt,B30,_xlpm.inside,MID(_xlpm.txt,FIND("[",_xlpm.txt)+1,FIND("]",_xlpm.txt)-FIND("[",_xlpm.txt)-1),_xlpm.nums,VALUE(_xlfn.TEXTSPLIT(_xlpm.inside,",")),_xlpm.mapped,_xlfn.XLOOKUP(_xlpm.nums,$X$2:$X$100,$Y$2:$Y$100),SUBSTITUTE(_xlpm.txt,"["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"]")),B30)</f>
        <v>Pyrolusite (mnO2), rhodochrosite (MnCO3) [26,47,54]</v>
      </c>
      <c r="AB30" t="str" cm="1">
        <f t="array" ref="AB30">IFERROR(_xlfn.LET(_xlpm.txt,C30,_xlpm.inside,MID(_xlpm.txt,FIND("[",_xlpm.txt)+1,FIND("]",_xlpm.txt)-FIND("[",_xlpm.txt)-1),_xlpm.nums,VALUE(_xlfn.TEXTSPLIT(_xlpm.inside,",")),_xlpm.mapped,_xlfn.XLOOKUP(_xlpm.nums,$X$2:$X$100,$Y$2:$Y$100),SUBSTITUTE(_xlpm.txt,"["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"]")),C30)</f>
        <v>Manganese tailings</v>
      </c>
      <c r="AC30" t="str" cm="1">
        <f t="array" ref="AC30">IFERROR(_xlfn.LET(_xlpm.txt,D30,_xlpm.inside,MID(_xlpm.txt,FIND("[",_xlpm.txt)+1,FIND("]",_xlpm.txt)-FIND("[",_xlpm.txt)-1),_xlpm.nums,VALUE(_xlfn.TEXTSPLIT(_xlpm.inside,",")),_xlpm.mapped,_xlfn.XLOOKUP(_xlpm.nums,$X$2:$X$100,$Y$2:$Y$100),SUBSTITUTE(_xlpm.txt,"["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"]")),D30)</f>
        <v>Mn beneficiation – tailings [52,11]</v>
      </c>
      <c r="AD30" t="str" cm="1">
        <f t="array" ref="AD30">IFERROR(_xlfn.LET(_xlpm.txt,E30,_xlpm.inside,MID(_xlpm.txt,FIND("[",_xlpm.txt)+1,FIND("]",_xlpm.txt)-FIND("[",_xlpm.txt)-1),_xlpm.nums,VALUE(_xlfn.TEXTSPLIT(_xlpm.inside,",")),_xlpm.mapped,_xlfn.XLOOKUP(_xlpm.nums,$X$2:$X$100,$Y$2:$Y$100),SUBSTITUTE(_xlpm.txt,"["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"]")),E30)</f>
        <v>Acid leaching to dissolve Mn oxides or carbonates [52]
High–gradient magnetic separation to isolate Mn–rich phases [27, 43]</v>
      </c>
      <c r="AE30" t="str" cm="1">
        <f t="array" ref="AE30">IFERROR(_xlfn.LET(_xlpm.txt,F30,_xlpm.inside,MID(_xlpm.txt,FIND("[",_xlpm.txt)+1,FIND("]",_xlpm.txt)-FIND("[",_xlpm.txt)-1),_xlpm.nums,VALUE(_xlfn.TEXTSPLIT(_xlpm.inside,",")),_xlpm.mapped,_xlfn.XLOOKUP(_xlpm.nums,$X$2:$X$100,$Y$2:$Y$100),SUBSTITUTE(_xlpm.txt,"["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"]")),F30)</f>
        <v>Fe or Mn impurities, acid consumption [41]</v>
      </c>
      <c r="AF30" t="str" cm="1">
        <f t="array" ref="AF30">IFERROR(_xlfn.LET(_xlpm.txt,G30,_xlpm.inside,MID(_xlpm.txt,FIND("[",_xlpm.txt)+1,FIND("]",_xlpm.txt)-FIND("[",_xlpm.txt)-1),_xlpm.nums,VALUE(_xlfn.TEXTSPLIT(_xlpm.inside,",")),_xlpm.mapped,_xlfn.XLOOKUP(_xlpm.nums,$X$2:$X$100,$Y$2:$Y$100),SUBSTITUTE(_xlpm.txt,"["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"]")),G30)</f>
        <v>Potential for significant Mn recovery is advantagous for battery-grade chemicals [54]</v>
      </c>
      <c r="AG30" t="str" cm="1">
        <f t="array" ref="AG30">IFERROR(_xlfn.LET(_xlpm.txt,H30,_xlpm.inside,MID(_xlpm.txt,FIND("[",_xlpm.txt)+1,FIND("]",_xlpm.txt)-FIND("[",_xlpm.txt)-1),_xlpm.nums,VALUE(_xlfn.TEXTSPLIT(_xlpm.inside,",")),_xlpm.mapped,_xlfn.XLOOKUP(_xlpm.nums,$X$2:$X$100,$Y$2:$Y$100),SUBSTITUTE(_xlpm.txt,"["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"]")),H30)</f>
        <v>Mn concentrates, soil remediation minerals [12,41]</v>
      </c>
      <c r="AH30" t="str" cm="1">
        <f t="array" ref="AH30">IFERROR(_xlfn.LET(_xlpm.txt,I30,_xlpm.inside,MID(_xlpm.txt,FIND("[",_xlpm.txt)+1,FIND("]",_xlpm.txt)-FIND("[",_xlpm.txt)-1),_xlpm.nums,VALUE(_xlfn.TEXTSPLIT(_xlpm.inside,",")),_xlpm.mapped,_xlfn.XLOOKUP(_xlpm.nums,$X$2:$X$100,$Y$2:$Y$100),SUBSTITUTE(_xlpm.txt,"["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"]")),I30)</f>
        <v>Not applicable</v>
      </c>
      <c r="AI30" t="str" cm="1">
        <f t="array" ref="AI30">IFERROR(_xlfn.LET(_xlpm.txt,J30,_xlpm.inside,MID(_xlpm.txt,FIND("[",_xlpm.txt)+1,FIND("]",_xlpm.txt)-FIND("[",_xlpm.txt)-1),_xlpm.nums,VALUE(_xlfn.TEXTSPLIT(_xlpm.inside,",")),_xlpm.mapped,_xlfn.XLOOKUP(_xlpm.nums,$X$2:$X$100,$Y$2:$Y$100),SUBSTITUTE(_xlpm.txt,"["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"]")),J30)</f>
        <v>Mn (battery grade) [2]</v>
      </c>
      <c r="AJ30" t="str" cm="1">
        <f t="array" ref="AJ30">IFERROR(_xlfn.LET(_xlpm.txt,K30,_xlpm.inside,MID(_xlpm.txt,FIND("[",_xlpm.txt)+1,FIND("]",_xlpm.txt)-FIND("[",_xlpm.txt)-1),_xlpm.nums,VALUE(_xlfn.TEXTSPLIT(_xlpm.inside,",")),_xlpm.mapped,_xlfn.XLOOKUP(_xlpm.nums,$X$2:$X$100,$Y$2:$Y$100),SUBSTITUTE(_xlpm.txt,"["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"]")),K30)</f>
        <v>Mn (oxides or carbonates)
SiO2
Al2O3
Fe [54,2]</v>
      </c>
      <c r="AK30" t="str" cm="1">
        <f t="array" ref="AK30">IFERROR(_xlfn.LET(_xlpm.txt,L30,_xlpm.inside,MID(_xlpm.txt,FIND("[",_xlpm.txt)+1,FIND("]",_xlpm.txt)-FIND("[",_xlpm.txt)-1),_xlpm.nums,VALUE(_xlfn.TEXTSPLIT(_xlpm.inside,",")),_xlpm.mapped,_xlfn.XLOOKUP(_xlpm.nums,$X$2:$X$100,$Y$2:$Y$100),SUBSTITUTE(_xlpm.txt,"["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"]")),L30)</f>
        <v>Pyrolusite (MnO2​)
Rhodochrosite (MnCO3​)
Quartz (SiO2​) [54]</v>
      </c>
      <c r="AL30" t="str" cm="1">
        <f t="array" ref="AL30">IFERROR(_xlfn.LET(_xlpm.txt,M30,_xlpm.inside,MID(_xlpm.txt,FIND("[",_xlpm.txt)+1,FIND("]",_xlpm.txt)-FIND("[",_xlpm.txt)-1),_xlpm.nums,VALUE(_xlfn.TEXTSPLIT(_xlpm.inside,",")),_xlpm.mapped,_xlfn.XLOOKUP(_xlpm.nums,$X$2:$X$100,$Y$2:$Y$100),SUBSTITUTE(_xlpm.txt,"["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"]")),M30)</f>
        <v>Mn, Si, Al, Fe, REEs [2]</v>
      </c>
      <c r="AM30" t="str" cm="1">
        <f t="array" ref="AM30">IFERROR(_xlfn.LET(_xlpm.txt,N30,_xlpm.inside,MID(_xlpm.txt,FIND("[",_xlpm.txt)+1,FIND("]",_xlpm.txt)-FIND("[",_xlpm.txt)-1),_xlpm.nums,VALUE(_xlfn.TEXTSPLIT(_xlpm.inside,",")),_xlpm.mapped,_xlfn.XLOOKUP(_xlpm.nums,$X$2:$X$100,$Y$2:$Y$100),SUBSTITUTE(_xlpm.txt,"["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"]")),N30)</f>
        <v>Solid state: fine particulate material or slurry [41]</v>
      </c>
      <c r="AN30" t="str" cm="1">
        <f t="array" ref="AN30">IFERROR(_xlfn.LET(_xlpm.txt,O30,_xlpm.inside,MID(_xlpm.txt,FIND("[",_xlpm.txt)+1,FIND("]",_xlpm.txt)-FIND("[",_xlpm.txt)-1),_xlpm.nums,VALUE(_xlfn.TEXTSPLIT(_xlpm.inside,",")),_xlpm.mapped,_xlfn.XLOOKUP(_xlpm.nums,$X$2:$X$100,$Y$2:$Y$100),SUBSTITUTE(_xlpm.txt,"["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"]")),O30)</f>
        <v>Unavailable data</v>
      </c>
      <c r="AO30" t="str" cm="1">
        <f t="array" ref="AO30">IFERROR(_xlfn.LET(_xlpm.txt,P30,_xlpm.inside,MID(_xlpm.txt,FIND("[",_xlpm.txt)+1,FIND("]",_xlpm.txt)-FIND("[",_xlpm.txt)-1),_xlpm.nums,VALUE(_xlfn.TEXTSPLIT(_xlpm.inside,",")),_xlpm.mapped,_xlfn.XLOOKUP(_xlpm.nums,$X$2:$X$100,$Y$2:$Y$100),SUBSTITUTE(_xlpm.txt,"["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"]")),P30)</f>
        <v>Near neutral–alkaline [41]</v>
      </c>
      <c r="AP30" t="str" cm="1">
        <f t="array" ref="AP30">IFERROR(_xlfn.LET(_xlpm.txt,Q30,_xlpm.inside,MID(_xlpm.txt,FIND("[",_xlpm.txt)+1,FIND("]",_xlpm.txt)-FIND("[",_xlpm.txt)-1),_xlpm.nums,VALUE(_xlfn.TEXTSPLIT(_xlpm.inside,",")),_xlpm.mapped,_xlfn.XLOOKUP(_xlpm.nums,$X$2:$X$100,$Y$2:$Y$100),SUBSTITUTE(_xlpm.txt,"["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"]")),Q30)</f>
        <v>40.0–60.0%: typically mining slurry moisture range [41]</v>
      </c>
    </row>
    <row r="31" spans="1:42" ht="119" x14ac:dyDescent="0.2">
      <c r="A31" s="58" t="s">
        <v>29</v>
      </c>
      <c r="B31" s="18" t="s">
        <v>1352</v>
      </c>
      <c r="C31" s="18" t="s">
        <v>31</v>
      </c>
      <c r="D31" s="18" t="s">
        <v>1363</v>
      </c>
      <c r="E31" s="18" t="s">
        <v>1364</v>
      </c>
      <c r="F31" s="18" t="s">
        <v>1365</v>
      </c>
      <c r="G31" s="18" t="s">
        <v>1628</v>
      </c>
      <c r="H31" s="18" t="s">
        <v>1366</v>
      </c>
      <c r="I31" s="18" t="s">
        <v>237</v>
      </c>
      <c r="J31" s="18" t="s">
        <v>1278</v>
      </c>
      <c r="K31" s="18" t="s">
        <v>1367</v>
      </c>
      <c r="L31" s="18" t="s">
        <v>1368</v>
      </c>
      <c r="M31" s="18" t="s">
        <v>1369</v>
      </c>
      <c r="N31" s="19" t="s">
        <v>1370</v>
      </c>
      <c r="O31" s="18" t="s">
        <v>1371</v>
      </c>
      <c r="P31" s="18" t="s">
        <v>1372</v>
      </c>
      <c r="Q31" s="18" t="s">
        <v>1373</v>
      </c>
      <c r="X31" s="36">
        <v>35</v>
      </c>
      <c r="Y31" s="63">
        <v>51</v>
      </c>
      <c r="AA31" t="str" cm="1">
        <f t="array" ref="AA31">IFERROR(_xlfn.LET(_xlpm.txt,B31,_xlpm.inside,MID(_xlpm.txt,FIND("[",_xlpm.txt)+1,FIND("]",_xlpm.txt)-FIND("[",_xlpm.txt)-1),_xlpm.nums,VALUE(_xlfn.TEXTSPLIT(_xlpm.inside,",")),_xlpm.mapped,_xlfn.XLOOKUP(_xlpm.nums,$X$2:$X$100,$Y$2:$Y$100),SUBSTITUTE(_xlpm.txt,"["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"]")),B31)</f>
        <v>Pyrolusite (mnO2), rhodochrosite (MnCO3) [26,47,54]</v>
      </c>
      <c r="AB31" t="str" cm="1">
        <f t="array" ref="AB31">IFERROR(_xlfn.LET(_xlpm.txt,C31,_xlpm.inside,MID(_xlpm.txt,FIND("[",_xlpm.txt)+1,FIND("]",_xlpm.txt)-FIND("[",_xlpm.txt)-1),_xlpm.nums,VALUE(_xlfn.TEXTSPLIT(_xlpm.inside,",")),_xlpm.mapped,_xlfn.XLOOKUP(_xlpm.nums,$X$2:$X$100,$Y$2:$Y$100),SUBSTITUTE(_xlpm.txt,"["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"]")),C31)</f>
        <v>Electrolytic manganese residues (EMR)</v>
      </c>
      <c r="AC31" t="str" cm="1">
        <f t="array" ref="AC31">IFERROR(_xlfn.LET(_xlpm.txt,D31,_xlpm.inside,MID(_xlpm.txt,FIND("[",_xlpm.txt)+1,FIND("]",_xlpm.txt)-FIND("[",_xlpm.txt)-1),_xlpm.nums,VALUE(_xlfn.TEXTSPLIT(_xlpm.inside,",")),_xlpm.mapped,_xlfn.XLOOKUP(_xlpm.nums,$X$2:$X$100,$Y$2:$Y$100),SUBSTITUTE(_xlpm.txt,"["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"]")),D31)</f>
        <v>Electrolytic Mn production – residues [54]</v>
      </c>
      <c r="AD31" t="str" cm="1">
        <f t="array" ref="AD31">IFERROR(_xlfn.LET(_xlpm.txt,E31,_xlpm.inside,MID(_xlpm.txt,FIND("[",_xlpm.txt)+1,FIND("]",_xlpm.txt)-FIND("[",_xlpm.txt)-1),_xlpm.nums,VALUE(_xlfn.TEXTSPLIT(_xlpm.inside,",")),_xlpm.mapped,_xlfn.XLOOKUP(_xlpm.nums,$X$2:$X$100,$Y$2:$Y$100),SUBSTITUTE(_xlpm.txt,"["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"]")),E31)</f>
        <v>Neutralization to precipitate metal hydroxides [54]
Oxidation roasting to convert Mn phases into suitable oxide forms [54]</v>
      </c>
      <c r="AE31" t="str" cm="1">
        <f t="array" ref="AE31">IFERROR(_xlfn.LET(_xlpm.txt,F31,_xlpm.inside,MID(_xlpm.txt,FIND("[",_xlpm.txt)+1,FIND("]",_xlpm.txt)-FIND("[",_xlpm.txt)-1),_xlpm.nums,VALUE(_xlfn.TEXTSPLIT(_xlpm.inside,",")),_xlpm.mapped,_xlfn.XLOOKUP(_xlpm.nums,$X$2:$X$100,$Y$2:$Y$100),SUBSTITUTE(_xlpm.txt,"["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"]")),F31)</f>
        <v>High acidity, ammonia content presence [2]</v>
      </c>
      <c r="AF31" t="str" cm="1">
        <f t="array" ref="AF31">IFERROR(_xlfn.LET(_xlpm.txt,G31,_xlpm.inside,MID(_xlpm.txt,FIND("[",_xlpm.txt)+1,FIND("]",_xlpm.txt)-FIND("[",_xlpm.txt)-1),_xlpm.nums,VALUE(_xlfn.TEXTSPLIT(_xlpm.inside,",")),_xlpm.mapped,_xlfn.XLOOKUP(_xlpm.nums,$X$2:$X$100,$Y$2:$Y$100),SUBSTITUTE(_xlpm.txt,"["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"]")),G31)</f>
        <v>Value of Mn recovery is more significant than acidic residue's processing cost (processes like stabilization or neutralization) [54]</v>
      </c>
      <c r="AG31" t="str" cm="1">
        <f t="array" ref="AG31">IFERROR(_xlfn.LET(_xlpm.txt,H31,_xlpm.inside,MID(_xlpm.txt,FIND("[",_xlpm.txt)+1,FIND("]",_xlpm.txt)-FIND("[",_xlpm.txt)-1),_xlpm.nums,VALUE(_xlfn.TEXTSPLIT(_xlpm.inside,",")),_xlpm.mapped,_xlfn.XLOOKUP(_xlpm.nums,$X$2:$X$100,$Y$2:$Y$100),SUBSTITUTE(_xlpm.txt,"["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"]")),H31)</f>
        <v>Mn2O3, MnSO4 for batteries, fertilizers [2]</v>
      </c>
      <c r="AH31" t="str" cm="1">
        <f t="array" ref="AH31">IFERROR(_xlfn.LET(_xlpm.txt,I31,_xlpm.inside,MID(_xlpm.txt,FIND("[",_xlpm.txt)+1,FIND("]",_xlpm.txt)-FIND("[",_xlpm.txt)-1),_xlpm.nums,VALUE(_xlfn.TEXTSPLIT(_xlpm.inside,",")),_xlpm.mapped,_xlfn.XLOOKUP(_xlpm.nums,$X$2:$X$100,$Y$2:$Y$100),SUBSTITUTE(_xlpm.txt,"["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"]")),I31)</f>
        <v>Not applicable</v>
      </c>
      <c r="AI31" t="str" cm="1">
        <f t="array" ref="AI31">IFERROR(_xlfn.LET(_xlpm.txt,J31,_xlpm.inside,MID(_xlpm.txt,FIND("[",_xlpm.txt)+1,FIND("]",_xlpm.txt)-FIND("[",_xlpm.txt)-1),_xlpm.nums,VALUE(_xlfn.TEXTSPLIT(_xlpm.inside,",")),_xlpm.mapped,_xlfn.XLOOKUP(_xlpm.nums,$X$2:$X$100,$Y$2:$Y$100),SUBSTITUTE(_xlpm.txt,"["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"]")),J31)</f>
        <v>Mn (battery grade) [2]</v>
      </c>
      <c r="AJ31" t="str" cm="1">
        <f t="array" ref="AJ31">IFERROR(_xlfn.LET(_xlpm.txt,K31,_xlpm.inside,MID(_xlpm.txt,FIND("[",_xlpm.txt)+1,FIND("]",_xlpm.txt)-FIND("[",_xlpm.txt)-1),_xlpm.nums,VALUE(_xlfn.TEXTSPLIT(_xlpm.inside,",")),_xlpm.mapped,_xlfn.XLOOKUP(_xlpm.nums,$X$2:$X$100,$Y$2:$Y$100),SUBSTITUTE(_xlpm.txt,"["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"]")),K31)</f>
        <v>Mn
Fe
Si
Ca
Al
Mg
sulfates [54]</v>
      </c>
      <c r="AK31" t="str" cm="1">
        <f t="array" ref="AK31">IFERROR(_xlfn.LET(_xlpm.txt,L31,_xlpm.inside,MID(_xlpm.txt,FIND("[",_xlpm.txt)+1,FIND("]",_xlpm.txt)-FIND("[",_xlpm.txt)-1),_xlpm.nums,VALUE(_xlfn.TEXTSPLIT(_xlpm.inside,",")),_xlpm.mapped,_xlfn.XLOOKUP(_xlpm.nums,$X$2:$X$100,$Y$2:$Y$100),SUBSTITUTE(_xlpm.txt,"["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"]")),L31)</f>
        <v>Gypsum (CaSO4​⋅2H2​O)
Quartz (SiO2​)
Jarosite [54]</v>
      </c>
      <c r="AL31" t="str" cm="1">
        <f t="array" ref="AL31">IFERROR(_xlfn.LET(_xlpm.txt,M31,_xlpm.inside,MID(_xlpm.txt,FIND("[",_xlpm.txt)+1,FIND("]",_xlpm.txt)-FIND("[",_xlpm.txt)-1),_xlpm.nums,VALUE(_xlfn.TEXTSPLIT(_xlpm.inside,",")),_xlpm.mapped,_xlfn.XLOOKUP(_xlpm.nums,$X$2:$X$100,$Y$2:$Y$100),SUBSTITUTE(_xlpm.txt,"["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"]")),M31)</f>
        <v>Mn, Fe, Si, Ca, Al, Mg, S, O [54]</v>
      </c>
      <c r="AM31" t="str" cm="1">
        <f t="array" ref="AM31">IFERROR(_xlfn.LET(_xlpm.txt,N31,_xlpm.inside,MID(_xlpm.txt,FIND("[",_xlpm.txt)+1,FIND("]",_xlpm.txt)-FIND("[",_xlpm.txt)-1),_xlpm.nums,VALUE(_xlfn.TEXTSPLIT(_xlpm.inside,",")),_xlpm.mapped,_xlfn.XLOOKUP(_xlpm.nums,$X$2:$X$100,$Y$2:$Y$100),SUBSTITUTE(_xlpm.txt,"["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"]")),N31)</f>
        <v>Wet solid or sludge state: precipitated (acidic) filter cake [2]</v>
      </c>
      <c r="AN31" t="str" cm="1">
        <f t="array" ref="AN31">IFERROR(_xlfn.LET(_xlpm.txt,O31,_xlpm.inside,MID(_xlpm.txt,FIND("[",_xlpm.txt)+1,FIND("]",_xlpm.txt)-FIND("[",_xlpm.txt)-1),_xlpm.nums,VALUE(_xlfn.TEXTSPLIT(_xlpm.inside,",")),_xlpm.mapped,_xlfn.XLOOKUP(_xlpm.nums,$X$2:$X$100,$Y$2:$Y$100),SUBSTITUTE(_xlpm.txt,"["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"]")),O31)</f>
        <v>Included in secondary flow of &gt;8.5 Mt/year [40]</v>
      </c>
      <c r="AO31" t="str" cm="1">
        <f t="array" ref="AO31">IFERROR(_xlfn.LET(_xlpm.txt,P31,_xlpm.inside,MID(_xlpm.txt,FIND("[",_xlpm.txt)+1,FIND("]",_xlpm.txt)-FIND("[",_xlpm.txt)-1),_xlpm.nums,VALUE(_xlfn.TEXTSPLIT(_xlpm.inside,",")),_xlpm.mapped,_xlfn.XLOOKUP(_xlpm.nums,$X$2:$X$100,$Y$2:$Y$100),SUBSTITUTE(_xlpm.txt,"["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"]")),P31)</f>
        <v>Acidic: generated from acidic precipitate sludge from Mn electrolysis [38]</v>
      </c>
      <c r="AP31" t="str" cm="1">
        <f t="array" ref="AP31">IFERROR(_xlfn.LET(_xlpm.txt,Q31,_xlpm.inside,MID(_xlpm.txt,FIND("[",_xlpm.txt)+1,FIND("]",_xlpm.txt)-FIND("[",_xlpm.txt)-1),_xlpm.nums,VALUE(_xlfn.TEXTSPLIT(_xlpm.inside,",")),_xlpm.mapped,_xlfn.XLOOKUP(_xlpm.nums,$X$2:$X$100,$Y$2:$Y$100),SUBSTITUTE(_xlpm.txt,"["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"]")),Q31)</f>
        <v>High: electrolytic residue handled as wet filter cake [2]</v>
      </c>
    </row>
    <row r="32" spans="1:42" ht="102" x14ac:dyDescent="0.2">
      <c r="A32" s="17" t="s">
        <v>32</v>
      </c>
      <c r="B32" s="18" t="s">
        <v>1374</v>
      </c>
      <c r="C32" s="18" t="s">
        <v>33</v>
      </c>
      <c r="D32" s="18" t="s">
        <v>1375</v>
      </c>
      <c r="E32" s="18" t="s">
        <v>1376</v>
      </c>
      <c r="F32" s="18" t="s">
        <v>1377</v>
      </c>
      <c r="G32" s="18" t="s">
        <v>1627</v>
      </c>
      <c r="H32" s="18" t="s">
        <v>1378</v>
      </c>
      <c r="I32" s="18" t="s">
        <v>1379</v>
      </c>
      <c r="J32" s="18" t="s">
        <v>237</v>
      </c>
      <c r="K32" s="18" t="s">
        <v>1380</v>
      </c>
      <c r="L32" s="18" t="s">
        <v>1381</v>
      </c>
      <c r="M32" s="18" t="s">
        <v>1382</v>
      </c>
      <c r="N32" s="18" t="s">
        <v>1306</v>
      </c>
      <c r="O32" s="18" t="s">
        <v>235</v>
      </c>
      <c r="P32" s="18" t="s">
        <v>1383</v>
      </c>
      <c r="Q32" s="18" t="s">
        <v>1330</v>
      </c>
      <c r="X32" s="36">
        <v>36</v>
      </c>
      <c r="Y32" s="63">
        <v>16</v>
      </c>
      <c r="AA32" t="str" cm="1">
        <f t="array" ref="AA32">IFERROR(_xlfn.LET(_xlpm.txt,B32,_xlpm.inside,MID(_xlpm.txt,FIND("[",_xlpm.txt)+1,FIND("]",_xlpm.txt)-FIND("[",_xlpm.txt)-1),_xlpm.nums,VALUE(_xlfn.TEXTSPLIT(_xlpm.inside,",")),_xlpm.mapped,_xlfn.XLOOKUP(_xlpm.nums,$X$2:$X$100,$Y$2:$Y$100),SUBSTITUTE(_xlpm.txt,"["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"]")),B32)</f>
        <v>Cassiterite (SnO2) [11,47]</v>
      </c>
      <c r="AB32" t="str" cm="1">
        <f t="array" ref="AB32">IFERROR(_xlfn.LET(_xlpm.txt,C32,_xlpm.inside,MID(_xlpm.txt,FIND("[",_xlpm.txt)+1,FIND("]",_xlpm.txt)-FIND("[",_xlpm.txt)-1),_xlpm.nums,VALUE(_xlfn.TEXTSPLIT(_xlpm.inside,",")),_xlpm.mapped,_xlfn.XLOOKUP(_xlpm.nums,$X$2:$X$100,$Y$2:$Y$100),SUBSTITUTE(_xlpm.txt,"["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"]")),C32)</f>
        <v>Tin tailings</v>
      </c>
      <c r="AC32" t="str" cm="1">
        <f t="array" ref="AC32">IFERROR(_xlfn.LET(_xlpm.txt,D32,_xlpm.inside,MID(_xlpm.txt,FIND("[",_xlpm.txt)+1,FIND("]",_xlpm.txt)-FIND("[",_xlpm.txt)-1),_xlpm.nums,VALUE(_xlfn.TEXTSPLIT(_xlpm.inside,",")),_xlpm.mapped,_xlfn.XLOOKUP(_xlpm.nums,$X$2:$X$100,$Y$2:$Y$100),SUBSTITUTE(_xlpm.txt,"["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"]")),D32)</f>
        <v>Sn ore beneficiation – tailings [52,11]</v>
      </c>
      <c r="AD32" t="str" cm="1">
        <f t="array" ref="AD32">IFERROR(_xlfn.LET(_xlpm.txt,E32,_xlpm.inside,MID(_xlpm.txt,FIND("[",_xlpm.txt)+1,FIND("]",_xlpm.txt)-FIND("[",_xlpm.txt)-1),_xlpm.nums,VALUE(_xlfn.TEXTSPLIT(_xlpm.inside,",")),_xlpm.mapped,_xlfn.XLOOKUP(_xlpm.nums,$X$2:$X$100,$Y$2:$Y$100),SUBSTITUTE(_xlpm.txt,"["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"]")),E32)</f>
        <v>Gravity separation to concentrate heavy Sn or Nb or Ta minerals [52]
Froth flotation for selective mineral beneficiation [27]
Acid leaching of Sn or Nb or Ta metals for recovery purposes [42]</v>
      </c>
      <c r="AE32" t="str" cm="1">
        <f t="array" ref="AE32">IFERROR(_xlfn.LET(_xlpm.txt,F32,_xlpm.inside,MID(_xlpm.txt,FIND("[",_xlpm.txt)+1,FIND("]",_xlpm.txt)-FIND("[",_xlpm.txt)-1),_xlpm.nums,VALUE(_xlfn.TEXTSPLIT(_xlpm.inside,",")),_xlpm.mapped,_xlfn.XLOOKUP(_xlpm.nums,$X$2:$X$100,$Y$2:$Y$100),SUBSTITUTE(_xlpm.txt,"["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"]")),F32)</f>
        <v>Complex mineralogy, fine particles [19]</v>
      </c>
      <c r="AF32" t="str" cm="1">
        <f t="array" ref="AF32">IFERROR(_xlfn.LET(_xlpm.txt,G32,_xlpm.inside,MID(_xlpm.txt,FIND("[",_xlpm.txt)+1,FIND("]",_xlpm.txt)-FIND("[",_xlpm.txt)-1),_xlpm.nums,VALUE(_xlfn.TEXTSPLIT(_xlpm.inside,",")),_xlpm.mapped,_xlfn.XLOOKUP(_xlpm.nums,$X$2:$X$100,$Y$2:$Y$100),SUBSTITUTE(_xlpm.txt,"["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"]")),G32)</f>
        <v>Recovery of Nb and Ta represent high margin value from tailings in Sn-rich deposits [54]</v>
      </c>
      <c r="AG32" t="str" cm="1">
        <f t="array" ref="AG32">IFERROR(_xlfn.LET(_xlpm.txt,H32,_xlpm.inside,MID(_xlpm.txt,FIND("[",_xlpm.txt)+1,FIND("]",_xlpm.txt)-FIND("[",_xlpm.txt)-1),_xlpm.nums,VALUE(_xlfn.TEXTSPLIT(_xlpm.inside,",")),_xlpm.mapped,_xlfn.XLOOKUP(_xlpm.nums,$X$2:$X$100,$Y$2:$Y$100),SUBSTITUTE(_xlpm.txt,"["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"]")),H32)</f>
        <v>Purified Sn, mullite ceramics, Nb or Ta concentrates [19,54]</v>
      </c>
      <c r="AH32" t="str" cm="1">
        <f t="array" ref="AH32">IFERROR(_xlfn.LET(_xlpm.txt,I32,_xlpm.inside,MID(_xlpm.txt,FIND("[",_xlpm.txt)+1,FIND("]",_xlpm.txt)-FIND("[",_xlpm.txt)-1),_xlpm.nums,VALUE(_xlfn.TEXTSPLIT(_xlpm.inside,",")),_xlpm.mapped,_xlfn.XLOOKUP(_xlpm.nums,$X$2:$X$100,$Y$2:$Y$100),SUBSTITUTE(_xlpm.txt,"["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"]")),I32)</f>
        <v>Nb, Ta [54]</v>
      </c>
      <c r="AI32" t="str" cm="1">
        <f t="array" ref="AI32">IFERROR(_xlfn.LET(_xlpm.txt,J32,_xlpm.inside,MID(_xlpm.txt,FIND("[",_xlpm.txt)+1,FIND("]",_xlpm.txt)-FIND("[",_xlpm.txt)-1),_xlpm.nums,VALUE(_xlfn.TEXTSPLIT(_xlpm.inside,",")),_xlpm.mapped,_xlfn.XLOOKUP(_xlpm.nums,$X$2:$X$100,$Y$2:$Y$100),SUBSTITUTE(_xlpm.txt,"["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"]")),J32)</f>
        <v>Not applicable</v>
      </c>
      <c r="AJ32" t="str" cm="1">
        <f t="array" ref="AJ32">IFERROR(_xlfn.LET(_xlpm.txt,K32,_xlpm.inside,MID(_xlpm.txt,FIND("[",_xlpm.txt)+1,FIND("]",_xlpm.txt)-FIND("[",_xlpm.txt)-1),_xlpm.nums,VALUE(_xlfn.TEXTSPLIT(_xlpm.inside,",")),_xlpm.mapped,_xlfn.XLOOKUP(_xlpm.nums,$X$2:$X$100,$Y$2:$Y$100),SUBSTITUTE(_xlpm.txt,"["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"]")),K32)</f>
        <v>Sn
SiO2
Al2O3
Fe
Nb, Ta (traces) [54]</v>
      </c>
      <c r="AK32" t="str" cm="1">
        <f t="array" ref="AK32">IFERROR(_xlfn.LET(_xlpm.txt,L32,_xlpm.inside,MID(_xlpm.txt,FIND("[",_xlpm.txt)+1,FIND("]",_xlpm.txt)-FIND("[",_xlpm.txt)-1),_xlpm.nums,VALUE(_xlfn.TEXTSPLIT(_xlpm.inside,",")),_xlpm.mapped,_xlfn.XLOOKUP(_xlpm.nums,$X$2:$X$100,$Y$2:$Y$100),SUBSTITUTE(_xlpm.txt,"["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"]")),L32)</f>
        <v>Quartz (SiO2​)
Cassiterite (SnO2​)
Mica [54]</v>
      </c>
      <c r="AL32" t="str" cm="1">
        <f t="array" ref="AL32">IFERROR(_xlfn.LET(_xlpm.txt,M32,_xlpm.inside,MID(_xlpm.txt,FIND("[",_xlpm.txt)+1,FIND("]",_xlpm.txt)-FIND("[",_xlpm.txt)-1),_xlpm.nums,VALUE(_xlfn.TEXTSPLIT(_xlpm.inside,",")),_xlpm.mapped,_xlfn.XLOOKUP(_xlpm.nums,$X$2:$X$100,$Y$2:$Y$100),SUBSTITUTE(_xlpm.txt,"["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"]")),M32)</f>
        <v>Sn, Si, Al, Fe, Nb, Ta, S [54]</v>
      </c>
      <c r="AM32" t="str" cm="1">
        <f t="array" ref="AM32">IFERROR(_xlfn.LET(_xlpm.txt,N32,_xlpm.inside,MID(_xlpm.txt,FIND("[",_xlpm.txt)+1,FIND("]",_xlpm.txt)-FIND("[",_xlpm.txt)-1),_xlpm.nums,VALUE(_xlfn.TEXTSPLIT(_xlpm.inside,",")),_xlpm.mapped,_xlfn.XLOOKUP(_xlpm.nums,$X$2:$X$100,$Y$2:$Y$100),SUBSTITUTE(_xlpm.txt,"["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"]")),N32)</f>
        <v>Solid state: fine particulate material or slurry [54]</v>
      </c>
      <c r="AN32" t="str" cm="1">
        <f t="array" ref="AN32">IFERROR(_xlfn.LET(_xlpm.txt,O32,_xlpm.inside,MID(_xlpm.txt,FIND("[",_xlpm.txt)+1,FIND("]",_xlpm.txt)-FIND("[",_xlpm.txt)-1),_xlpm.nums,VALUE(_xlfn.TEXTSPLIT(_xlpm.inside,",")),_xlpm.mapped,_xlfn.XLOOKUP(_xlpm.nums,$X$2:$X$100,$Y$2:$Y$100),SUBSTITUTE(_xlpm.txt,"["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"]")),O32)</f>
        <v>Unavailable data</v>
      </c>
      <c r="AO32" t="str" cm="1">
        <f t="array" ref="AO32">IFERROR(_xlfn.LET(_xlpm.txt,P32,_xlpm.inside,MID(_xlpm.txt,FIND("[",_xlpm.txt)+1,FIND("]",_xlpm.txt)-FIND("[",_xlpm.txt)-1),_xlpm.nums,VALUE(_xlfn.TEXTSPLIT(_xlpm.inside,",")),_xlpm.mapped,_xlfn.XLOOKUP(_xlpm.nums,$X$2:$X$100,$Y$2:$Y$100),SUBSTITUTE(_xlpm.txt,"["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"]")),P32)</f>
        <v>Near neutral–slightly alkaline: depends on geological host rock [54]</v>
      </c>
      <c r="AP32" t="str" cm="1">
        <f t="array" ref="AP32">IFERROR(_xlfn.LET(_xlpm.txt,Q32,_xlpm.inside,MID(_xlpm.txt,FIND("[",_xlpm.txt)+1,FIND("]",_xlpm.txt)-FIND("[",_xlpm.txt)-1),_xlpm.nums,VALUE(_xlfn.TEXTSPLIT(_xlpm.inside,",")),_xlpm.mapped,_xlfn.XLOOKUP(_xlpm.nums,$X$2:$X$100,$Y$2:$Y$100),SUBSTITUTE(_xlpm.txt,"["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"]")),Q32)</f>
        <v>40.0–60.0%: typically mining slurry moisture range [54]</v>
      </c>
    </row>
    <row r="33" spans="1:42" ht="85" x14ac:dyDescent="0.2">
      <c r="A33" s="17" t="s">
        <v>32</v>
      </c>
      <c r="B33" s="18" t="s">
        <v>1374</v>
      </c>
      <c r="C33" s="18" t="s">
        <v>34</v>
      </c>
      <c r="D33" s="18" t="s">
        <v>1384</v>
      </c>
      <c r="E33" s="18" t="s">
        <v>1385</v>
      </c>
      <c r="F33" s="18" t="s">
        <v>1386</v>
      </c>
      <c r="G33" s="18" t="s">
        <v>1626</v>
      </c>
      <c r="H33" s="18" t="s">
        <v>1387</v>
      </c>
      <c r="I33" s="18" t="s">
        <v>1379</v>
      </c>
      <c r="J33" s="18" t="s">
        <v>237</v>
      </c>
      <c r="K33" s="18" t="s">
        <v>1388</v>
      </c>
      <c r="L33" s="18" t="s">
        <v>895</v>
      </c>
      <c r="M33" s="18" t="s">
        <v>1389</v>
      </c>
      <c r="N33" s="18" t="s">
        <v>1390</v>
      </c>
      <c r="O33" s="18" t="s">
        <v>1371</v>
      </c>
      <c r="P33" s="18" t="s">
        <v>1391</v>
      </c>
      <c r="Q33" s="18" t="s">
        <v>1392</v>
      </c>
      <c r="X33" s="36">
        <v>37</v>
      </c>
      <c r="Y33" s="63"/>
      <c r="AA33" t="str" cm="1">
        <f t="array" ref="AA33">IFERROR(_xlfn.LET(_xlpm.txt,B33,_xlpm.inside,MID(_xlpm.txt,FIND("[",_xlpm.txt)+1,FIND("]",_xlpm.txt)-FIND("[",_xlpm.txt)-1),_xlpm.nums,VALUE(_xlfn.TEXTSPLIT(_xlpm.inside,",")),_xlpm.mapped,_xlfn.XLOOKUP(_xlpm.nums,$X$2:$X$100,$Y$2:$Y$100),SUBSTITUTE(_xlpm.txt,"["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"]")),B33)</f>
        <v>Cassiterite (SnO2) [11,47]</v>
      </c>
      <c r="AB33" t="str" cm="1">
        <f t="array" ref="AB33">IFERROR(_xlfn.LET(_xlpm.txt,C33,_xlpm.inside,MID(_xlpm.txt,FIND("[",_xlpm.txt)+1,FIND("]",_xlpm.txt)-FIND("[",_xlpm.txt)-1),_xlpm.nums,VALUE(_xlfn.TEXTSPLIT(_xlpm.inside,",")),_xlpm.mapped,_xlfn.XLOOKUP(_xlpm.nums,$X$2:$X$100,$Y$2:$Y$100),SUBSTITUTE(_xlpm.txt,"["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"]")),C33)</f>
        <v>Tin slags</v>
      </c>
      <c r="AC33" t="str" cm="1">
        <f t="array" ref="AC33">IFERROR(_xlfn.LET(_xlpm.txt,D33,_xlpm.inside,MID(_xlpm.txt,FIND("[",_xlpm.txt)+1,FIND("]",_xlpm.txt)-FIND("[",_xlpm.txt)-1),_xlpm.nums,VALUE(_xlfn.TEXTSPLIT(_xlpm.inside,",")),_xlpm.mapped,_xlfn.XLOOKUP(_xlpm.nums,$X$2:$X$100,$Y$2:$Y$100),SUBSTITUTE(_xlpm.txt,"["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"]")),D33)</f>
        <v>Tin smelting – furnace [36,54]</v>
      </c>
      <c r="AD33" t="str" cm="1">
        <f t="array" ref="AD33">IFERROR(_xlfn.LET(_xlpm.txt,E33,_xlpm.inside,MID(_xlpm.txt,FIND("[",_xlpm.txt)+1,FIND("]",_xlpm.txt)-FIND("[",_xlpm.txt)-1),_xlpm.nums,VALUE(_xlfn.TEXTSPLIT(_xlpm.inside,",")),_xlpm.mapped,_xlfn.XLOOKUP(_xlpm.nums,$X$2:$X$100,$Y$2:$Y$100),SUBSTITUTE(_xlpm.txt,"["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"]")),E33)</f>
        <v>Flux–assisted reduction to recover Sn and associated metals [36]
Carbothermic reduction to extract valuable oxides or minerals [36]</v>
      </c>
      <c r="AE33" t="str" cm="1">
        <f t="array" ref="AE33">IFERROR(_xlfn.LET(_xlpm.txt,F33,_xlpm.inside,MID(_xlpm.txt,FIND("[",_xlpm.txt)+1,FIND("]",_xlpm.txt)-FIND("[",_xlpm.txt)-1),_xlpm.nums,VALUE(_xlfn.TEXTSPLIT(_xlpm.inside,",")),_xlpm.mapped,_xlfn.XLOOKUP(_xlpm.nums,$X$2:$X$100,$Y$2:$Y$100),SUBSTITUTE(_xlpm.txt,"["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"]")),F33)</f>
        <v>Variable metal content, dependant on flux [19]</v>
      </c>
      <c r="AF33" t="str" cm="1">
        <f t="array" ref="AF33">IFERROR(_xlfn.LET(_xlpm.txt,G33,_xlpm.inside,MID(_xlpm.txt,FIND("[",_xlpm.txt)+1,FIND("]",_xlpm.txt)-FIND("[",_xlpm.txt)-1),_xlpm.nums,VALUE(_xlfn.TEXTSPLIT(_xlpm.inside,",")),_xlpm.mapped,_xlfn.XLOOKUP(_xlpm.nums,$X$2:$X$100,$Y$2:$Y$100),SUBSTITUTE(_xlpm.txt,"["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"]")),G33)</f>
        <v>Recovery of Nb and Ta from smelter slags have high value for SRM's market [54]</v>
      </c>
      <c r="AG33" t="str" cm="1">
        <f t="array" ref="AG33">IFERROR(_xlfn.LET(_xlpm.txt,H33,_xlpm.inside,MID(_xlpm.txt,FIND("[",_xlpm.txt)+1,FIND("]",_xlpm.txt)-FIND("[",_xlpm.txt)-1),_xlpm.nums,VALUE(_xlfn.TEXTSPLIT(_xlpm.inside,",")),_xlpm.mapped,_xlfn.XLOOKUP(_xlpm.nums,$X$2:$X$100,$Y$2:$Y$100),SUBSTITUTE(_xlpm.txt,"["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"]")),H33)</f>
        <v>Zn or Mn or Fe recovery, Ta or Nb oxides, Ag refining [19]</v>
      </c>
      <c r="AH33" t="str" cm="1">
        <f t="array" ref="AH33">IFERROR(_xlfn.LET(_xlpm.txt,I33,_xlpm.inside,MID(_xlpm.txt,FIND("[",_xlpm.txt)+1,FIND("]",_xlpm.txt)-FIND("[",_xlpm.txt)-1),_xlpm.nums,VALUE(_xlfn.TEXTSPLIT(_xlpm.inside,",")),_xlpm.mapped,_xlfn.XLOOKUP(_xlpm.nums,$X$2:$X$100,$Y$2:$Y$100),SUBSTITUTE(_xlpm.txt,"["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"]")),I33)</f>
        <v>Nb, Ta [54]</v>
      </c>
      <c r="AI33" t="str" cm="1">
        <f t="array" ref="AI33">IFERROR(_xlfn.LET(_xlpm.txt,J33,_xlpm.inside,MID(_xlpm.txt,FIND("[",_xlpm.txt)+1,FIND("]",_xlpm.txt)-FIND("[",_xlpm.txt)-1),_xlpm.nums,VALUE(_xlfn.TEXTSPLIT(_xlpm.inside,",")),_xlpm.mapped,_xlfn.XLOOKUP(_xlpm.nums,$X$2:$X$100,$Y$2:$Y$100),SUBSTITUTE(_xlpm.txt,"["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"]")),J33)</f>
        <v>Not applicable</v>
      </c>
      <c r="AJ33" t="str" cm="1">
        <f t="array" ref="AJ33">IFERROR(_xlfn.LET(_xlpm.txt,K33,_xlpm.inside,MID(_xlpm.txt,FIND("[",_xlpm.txt)+1,FIND("]",_xlpm.txt)-FIND("[",_xlpm.txt)-1),_xlpm.nums,VALUE(_xlfn.TEXTSPLIT(_xlpm.inside,",")),_xlpm.mapped,_xlfn.XLOOKUP(_xlpm.nums,$X$2:$X$100,$Y$2:$Y$100),SUBSTITUTE(_xlpm.txt,"["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"]")),K33)</f>
        <v>Ta and Nb oxides
SiO2
CaO
Al2O3
FeO [54]</v>
      </c>
      <c r="AK33" t="str" cm="1">
        <f t="array" ref="AK33">IFERROR(_xlfn.LET(_xlpm.txt,L33,_xlpm.inside,MID(_xlpm.txt,FIND("[",_xlpm.txt)+1,FIND("]",_xlpm.txt)-FIND("[",_xlpm.txt)-1),_xlpm.nums,VALUE(_xlfn.TEXTSPLIT(_xlpm.inside,",")),_xlpm.mapped,_xlfn.XLOOKUP(_xlpm.nums,$X$2:$X$100,$Y$2:$Y$100),SUBSTITUTE(_xlpm.txt,"["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"]")),L33)</f>
        <v>Silicate glass
Tantalite ([Fe,Mn]Ta2​O6​)
Columbite [49]</v>
      </c>
      <c r="AL33" t="str" cm="1">
        <f t="array" ref="AL33">IFERROR(_xlfn.LET(_xlpm.txt,M33,_xlpm.inside,MID(_xlpm.txt,FIND("[",_xlpm.txt)+1,FIND("]",_xlpm.txt)-FIND("[",_xlpm.txt)-1),_xlpm.nums,VALUE(_xlfn.TEXTSPLIT(_xlpm.inside,",")),_xlpm.mapped,_xlfn.XLOOKUP(_xlpm.nums,$X$2:$X$100,$Y$2:$Y$100),SUBSTITUTE(_xlpm.txt,"["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"]")),M33)</f>
        <v>Ta, Nb, Si, S, Al, Fe, Sn [54]</v>
      </c>
      <c r="AM33" t="str" cm="1">
        <f t="array" ref="AM33">IFERROR(_xlfn.LET(_xlpm.txt,N33,_xlpm.inside,MID(_xlpm.txt,FIND("[",_xlpm.txt)+1,FIND("]",_xlpm.txt)-FIND("[",_xlpm.txt)-1),_xlpm.nums,VALUE(_xlfn.TEXTSPLIT(_xlpm.inside,",")),_xlpm.mapped,_xlfn.XLOOKUP(_xlpm.nums,$X$2:$X$100,$Y$2:$Y$100),SUBSTITUTE(_xlpm.txt,"["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"]")),N33)</f>
        <v>Solid state: stony or granular aggregate [19]</v>
      </c>
      <c r="AN33" t="str" cm="1">
        <f t="array" ref="AN33">IFERROR(_xlfn.LET(_xlpm.txt,O33,_xlpm.inside,MID(_xlpm.txt,FIND("[",_xlpm.txt)+1,FIND("]",_xlpm.txt)-FIND("[",_xlpm.txt)-1),_xlpm.nums,VALUE(_xlfn.TEXTSPLIT(_xlpm.inside,",")),_xlpm.mapped,_xlfn.XLOOKUP(_xlpm.nums,$X$2:$X$100,$Y$2:$Y$100),SUBSTITUTE(_xlpm.txt,"["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"]")),O33)</f>
        <v>Included in secondary flow of &gt;8.5 Mt/year [40]</v>
      </c>
      <c r="AO33" t="str" cm="1">
        <f t="array" ref="AO33">IFERROR(_xlfn.LET(_xlpm.txt,P33,_xlpm.inside,MID(_xlpm.txt,FIND("[",_xlpm.txt)+1,FIND("]",_xlpm.txt)-FIND("[",_xlpm.txt)-1),_xlpm.nums,VALUE(_xlfn.TEXTSPLIT(_xlpm.inside,",")),_xlpm.mapped,_xlfn.XLOOKUP(_xlpm.nums,$X$2:$X$100,$Y$2:$Y$100),SUBSTITUTE(_xlpm.txt,"["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"]")),P33)</f>
        <v>Alkaline: silicate–glass matrix [19]</v>
      </c>
      <c r="AP33" t="str" cm="1">
        <f t="array" ref="AP33">IFERROR(_xlfn.LET(_xlpm.txt,Q33,_xlpm.inside,MID(_xlpm.txt,FIND("[",_xlpm.txt)+1,FIND("]",_xlpm.txt)-FIND("[",_xlpm.txt)-1),_xlpm.nums,VALUE(_xlfn.TEXTSPLIT(_xlpm.inside,",")),_xlpm.mapped,_xlfn.XLOOKUP(_xlpm.nums,$X$2:$X$100,$Y$2:$Y$100),SUBSTITUTE(_xlpm.txt,"["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"]")),Q33)</f>
        <v>Low: vitrified silicate solid [54]</v>
      </c>
    </row>
    <row r="34" spans="1:42" ht="102" x14ac:dyDescent="0.2">
      <c r="A34" s="57" t="s">
        <v>311</v>
      </c>
      <c r="B34" s="21" t="s">
        <v>1393</v>
      </c>
      <c r="C34" s="21" t="s">
        <v>312</v>
      </c>
      <c r="D34" s="21" t="s">
        <v>1394</v>
      </c>
      <c r="E34" s="21" t="s">
        <v>1395</v>
      </c>
      <c r="F34" s="21" t="s">
        <v>1396</v>
      </c>
      <c r="G34" s="21" t="s">
        <v>1654</v>
      </c>
      <c r="H34" s="21" t="s">
        <v>1397</v>
      </c>
      <c r="I34" s="21" t="s">
        <v>1398</v>
      </c>
      <c r="J34" s="21" t="s">
        <v>1399</v>
      </c>
      <c r="K34" s="21" t="s">
        <v>1400</v>
      </c>
      <c r="L34" s="21" t="s">
        <v>1401</v>
      </c>
      <c r="M34" s="21" t="s">
        <v>1402</v>
      </c>
      <c r="N34" s="21" t="s">
        <v>1403</v>
      </c>
      <c r="O34" s="21" t="s">
        <v>235</v>
      </c>
      <c r="P34" s="21" t="s">
        <v>1404</v>
      </c>
      <c r="Q34" s="21" t="s">
        <v>1405</v>
      </c>
      <c r="X34" s="36">
        <v>38</v>
      </c>
      <c r="Y34" s="63">
        <v>6</v>
      </c>
      <c r="AA34" t="str" cm="1">
        <f t="array" ref="AA34">IFERROR(_xlfn.LET(_xlpm.txt,B34,_xlpm.inside,MID(_xlpm.txt,FIND("[",_xlpm.txt)+1,FIND("]",_xlpm.txt)-FIND("[",_xlpm.txt)-1),_xlpm.nums,VALUE(_xlfn.TEXTSPLIT(_xlpm.inside,",")),_xlpm.mapped,_xlfn.XLOOKUP(_xlpm.nums,$X$2:$X$100,$Y$2:$Y$100),SUBSTITUTE(_xlpm.txt,"["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"]")),B34)</f>
        <v>Cathode materials: NMC (LiNiMnCoO2), LCO (LiCoO2),LFP (LiFePO4) [54,26]</v>
      </c>
      <c r="AB34" t="str" cm="1">
        <f t="array" ref="AB34">IFERROR(_xlfn.LET(_xlpm.txt,C34,_xlpm.inside,MID(_xlpm.txt,FIND("[",_xlpm.txt)+1,FIND("]",_xlpm.txt)-FIND("[",_xlpm.txt)-1),_xlpm.nums,VALUE(_xlfn.TEXTSPLIT(_xlpm.inside,",")),_xlpm.mapped,_xlfn.XLOOKUP(_xlpm.nums,$X$2:$X$100,$Y$2:$Y$100),SUBSTITUTE(_xlpm.txt,"["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"]")),C34)</f>
        <v xml:space="preserve">Spent Li–ion battery (LIB) black mass </v>
      </c>
      <c r="AC34" t="str" cm="1">
        <f t="array" ref="AC34">IFERROR(_xlfn.LET(_xlpm.txt,D34,_xlpm.inside,MID(_xlpm.txt,FIND("[",_xlpm.txt)+1,FIND("]",_xlpm.txt)-FIND("[",_xlpm.txt)-1),_xlpm.nums,VALUE(_xlfn.TEXTSPLIT(_xlpm.inside,",")),_xlpm.mapped,_xlfn.XLOOKUP(_xlpm.nums,$X$2:$X$100,$Y$2:$Y$100),SUBSTITUTE(_xlpm.txt,"["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"]")),D34)</f>
        <v>LIB recycling – mechanical shredding and thermal treatment [26,54]</v>
      </c>
      <c r="AD34" t="str" cm="1">
        <f t="array" ref="AD34">IFERROR(_xlfn.LET(_xlpm.txt,E34,_xlpm.inside,MID(_xlpm.txt,FIND("[",_xlpm.txt)+1,FIND("]",_xlpm.txt)-FIND("[",_xlpm.txt)-1),_xlpm.nums,VALUE(_xlfn.TEXTSPLIT(_xlpm.inside,",")),_xlpm.mapped,_xlfn.XLOOKUP(_xlpm.nums,$X$2:$X$100,$Y$2:$Y$100),SUBSTITUTE(_xlpm.txt,"["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"]")),E34)</f>
        <v>Acid leaching to extract Li, Co, Ni, Mn into solutions [36]
Pyrometallurgical smelting to obtain alloy intermediate [49]
Direct regeneration (re–lithiation) to restore cathode materials [25]</v>
      </c>
      <c r="AE34" t="str" cm="1">
        <f t="array" ref="AE34">IFERROR(_xlfn.LET(_xlpm.txt,F34,_xlpm.inside,MID(_xlpm.txt,FIND("[",_xlpm.txt)+1,FIND("]",_xlpm.txt)-FIND("[",_xlpm.txt)-1),_xlpm.nums,VALUE(_xlfn.TEXTSPLIT(_xlpm.inside,",")),_xlpm.mapped,_xlfn.XLOOKUP(_xlpm.nums,$X$2:$X$100,$Y$2:$Y$100),SUBSTITUTE(_xlpm.txt,"["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"]")),F34)</f>
        <v>Heterogenous mix, binders inhibit leaching [54]</v>
      </c>
      <c r="AF34" t="str" cm="1">
        <f t="array" ref="AF34">IFERROR(_xlfn.LET(_xlpm.txt,G34,_xlpm.inside,MID(_xlpm.txt,FIND("[",_xlpm.txt)+1,FIND("]",_xlpm.txt)-FIND("[",_xlpm.txt)-1),_xlpm.nums,VALUE(_xlfn.TEXTSPLIT(_xlpm.inside,",")),_xlpm.mapped,_xlfn.XLOOKUP(_xlpm.nums,$X$2:$X$100,$Y$2:$Y$100),SUBSTITUTE(_xlpm.txt,"["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"]")),G34)</f>
        <v>For EU strategy recovery of Co, Ni, Li metal is priority to achieve a net-zero carbon economy [54]</v>
      </c>
      <c r="AG34" t="str" cm="1">
        <f t="array" ref="AG34">IFERROR(_xlfn.LET(_xlpm.txt,H34,_xlpm.inside,MID(_xlpm.txt,FIND("[",_xlpm.txt)+1,FIND("]",_xlpm.txt)-FIND("[",_xlpm.txt)-1),_xlpm.nums,VALUE(_xlfn.TEXTSPLIT(_xlpm.inside,",")),_xlpm.mapped,_xlfn.XLOOKUP(_xlpm.nums,$X$2:$X$100,$Y$2:$Y$100),SUBSTITUTE(_xlpm.txt,"["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"]")),H34)</f>
        <v>High–purity Li, Co, Ni salts, battery precursor materials [54]</v>
      </c>
      <c r="AH34" t="str" cm="1">
        <f t="array" ref="AH34">IFERROR(_xlfn.LET(_xlpm.txt,I34,_xlpm.inside,MID(_xlpm.txt,FIND("[",_xlpm.txt)+1,FIND("]",_xlpm.txt)-FIND("[",_xlpm.txt)-1),_xlpm.nums,VALUE(_xlfn.TEXTSPLIT(_xlpm.inside,",")),_xlpm.mapped,_xlfn.XLOOKUP(_xlpm.nums,$X$2:$X$100,$Y$2:$Y$100),SUBSTITUTE(_xlpm.txt,"["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"]")),I34)</f>
        <v>Li (battery grade), Co, Ni, Mn (battery grade) [54]</v>
      </c>
      <c r="AI34" t="str" cm="1">
        <f t="array" ref="AI34">IFERROR(_xlfn.LET(_xlpm.txt,J34,_xlpm.inside,MID(_xlpm.txt,FIND("[",_xlpm.txt)+1,FIND("]",_xlpm.txt)-FIND("[",_xlpm.txt)-1),_xlpm.nums,VALUE(_xlfn.TEXTSPLIT(_xlpm.inside,",")),_xlpm.mapped,_xlfn.XLOOKUP(_xlpm.nums,$X$2:$X$100,$Y$2:$Y$100),SUBSTITUTE(_xlpm.txt,"["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"]")),J34)</f>
        <v>Li, Co, Ni (battery grade), Mn (battery grade), Natural graphite [54]</v>
      </c>
      <c r="AJ34" t="str" cm="1">
        <f t="array" ref="AJ34">IFERROR(_xlfn.LET(_xlpm.txt,K34,_xlpm.inside,MID(_xlpm.txt,FIND("[",_xlpm.txt)+1,FIND("]",_xlpm.txt)-FIND("[",_xlpm.txt)-1),_xlpm.nums,VALUE(_xlfn.TEXTSPLIT(_xlpm.inside,",")),_xlpm.mapped,_xlfn.XLOOKUP(_xlpm.nums,$X$2:$X$100,$Y$2:$Y$100),SUBSTITUTE(_xlpm.txt,"["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"]")),K34)</f>
        <v>Li (2–5%)
Co (5–20%)
Ni (5–20%)
Mn (5–15%)
C–graphite (20–30%) [54]</v>
      </c>
      <c r="AK34" t="str" cm="1">
        <f t="array" ref="AK34">IFERROR(_xlfn.LET(_xlpm.txt,L34,_xlpm.inside,MID(_xlpm.txt,FIND("[",_xlpm.txt)+1,FIND("]",_xlpm.txt)-FIND("[",_xlpm.txt)-1),_xlpm.nums,VALUE(_xlfn.TEXTSPLIT(_xlpm.inside,",")),_xlpm.mapped,_xlfn.XLOOKUP(_xlpm.nums,$X$2:$X$100,$Y$2:$Y$100),SUBSTITUTE(_xlpm.txt,"["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"]")),L34)</f>
        <v>Graphite
Lithium cobalt oxide (LiCoO2​)
Spodumene polymorphs (α,γ,β) [54]</v>
      </c>
      <c r="AL34" t="str" cm="1">
        <f t="array" ref="AL34">IFERROR(_xlfn.LET(_xlpm.txt,M34,_xlpm.inside,MID(_xlpm.txt,FIND("[",_xlpm.txt)+1,FIND("]",_xlpm.txt)-FIND("[",_xlpm.txt)-1),_xlpm.nums,VALUE(_xlfn.TEXTSPLIT(_xlpm.inside,",")),_xlpm.mapped,_xlfn.XLOOKUP(_xlpm.nums,$X$2:$X$100,$Y$2:$Y$100),SUBSTITUTE(_xlpm.txt,"["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"]")),M34)</f>
        <v>Li, Co, Ni, Mn, C, Al, Fe, P, O, Ti, F [54]</v>
      </c>
      <c r="AM34" t="str" cm="1">
        <f t="array" ref="AM34">IFERROR(_xlfn.LET(_xlpm.txt,N34,_xlpm.inside,MID(_xlpm.txt,FIND("[",_xlpm.txt)+1,FIND("]",_xlpm.txt)-FIND("[",_xlpm.txt)-1),_xlpm.nums,VALUE(_xlfn.TEXTSPLIT(_xlpm.inside,",")),_xlpm.mapped,_xlfn.XLOOKUP(_xlpm.nums,$X$2:$X$100,$Y$2:$Y$100),SUBSTITUTE(_xlpm.txt,"["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"]")),N34)</f>
        <v>Solid state: fine powder generated from mechanical shredding of residues [54]</v>
      </c>
      <c r="AN34" t="str" cm="1">
        <f t="array" ref="AN34">IFERROR(_xlfn.LET(_xlpm.txt,O34,_xlpm.inside,MID(_xlpm.txt,FIND("[",_xlpm.txt)+1,FIND("]",_xlpm.txt)-FIND("[",_xlpm.txt)-1),_xlpm.nums,VALUE(_xlfn.TEXTSPLIT(_xlpm.inside,",")),_xlpm.mapped,_xlfn.XLOOKUP(_xlpm.nums,$X$2:$X$100,$Y$2:$Y$100),SUBSTITUTE(_xlpm.txt,"["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"]")),O34)</f>
        <v>Unavailable data</v>
      </c>
      <c r="AO34" t="str" cm="1">
        <f t="array" ref="AO34">IFERROR(_xlfn.LET(_xlpm.txt,P34,_xlpm.inside,MID(_xlpm.txt,FIND("[",_xlpm.txt)+1,FIND("]",_xlpm.txt)-FIND("[",_xlpm.txt)-1),_xlpm.nums,VALUE(_xlfn.TEXTSPLIT(_xlpm.inside,",")),_xlpm.mapped,_xlfn.XLOOKUP(_xlpm.nums,$X$2:$X$100,$Y$2:$Y$100),SUBSTITUTE(_xlpm.txt,"["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"]")),P34)</f>
        <v>Acidic: processed in H2SO4 or HCl for recovery) [54]</v>
      </c>
      <c r="AP34" t="str" cm="1">
        <f t="array" ref="AP34">IFERROR(_xlfn.LET(_xlpm.txt,Q34,_xlpm.inside,MID(_xlpm.txt,FIND("[",_xlpm.txt)+1,FIND("]",_xlpm.txt)-FIND("[",_xlpm.txt)-1),_xlpm.nums,VALUE(_xlfn.TEXTSPLIT(_xlpm.inside,",")),_xlpm.mapped,_xlfn.XLOOKUP(_xlpm.nums,$X$2:$X$100,$Y$2:$Y$100),SUBSTITUTE(_xlpm.txt,"["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"]")),Q34)</f>
        <v>Low: mechanically shredded dry powder [54]</v>
      </c>
    </row>
    <row r="35" spans="1:42" ht="102" x14ac:dyDescent="0.2">
      <c r="A35" s="57" t="s">
        <v>311</v>
      </c>
      <c r="B35" s="21" t="s">
        <v>1393</v>
      </c>
      <c r="C35" s="21" t="s">
        <v>35</v>
      </c>
      <c r="D35" s="21" t="s">
        <v>1406</v>
      </c>
      <c r="E35" s="21" t="s">
        <v>1407</v>
      </c>
      <c r="F35" s="21" t="s">
        <v>1408</v>
      </c>
      <c r="G35" s="21" t="s">
        <v>1625</v>
      </c>
      <c r="H35" s="21" t="s">
        <v>1409</v>
      </c>
      <c r="I35" s="21" t="s">
        <v>1410</v>
      </c>
      <c r="J35" s="21" t="s">
        <v>1411</v>
      </c>
      <c r="K35" s="21" t="s">
        <v>1412</v>
      </c>
      <c r="L35" s="21" t="s">
        <v>1413</v>
      </c>
      <c r="M35" s="21" t="s">
        <v>1414</v>
      </c>
      <c r="N35" s="21" t="s">
        <v>1415</v>
      </c>
      <c r="O35" s="21" t="s">
        <v>1416</v>
      </c>
      <c r="P35" s="21" t="s">
        <v>1417</v>
      </c>
      <c r="Q35" s="21" t="s">
        <v>1418</v>
      </c>
      <c r="X35" s="36">
        <v>39</v>
      </c>
      <c r="Y35" s="63">
        <v>27</v>
      </c>
      <c r="AA35" t="str" cm="1">
        <f t="array" ref="AA35">IFERROR(_xlfn.LET(_xlpm.txt,B35,_xlpm.inside,MID(_xlpm.txt,FIND("[",_xlpm.txt)+1,FIND("]",_xlpm.txt)-FIND("[",_xlpm.txt)-1),_xlpm.nums,VALUE(_xlfn.TEXTSPLIT(_xlpm.inside,",")),_xlpm.mapped,_xlfn.XLOOKUP(_xlpm.nums,$X$2:$X$100,$Y$2:$Y$100),SUBSTITUTE(_xlpm.txt,"["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"]")),B35)</f>
        <v>Cathode materials: NMC (LiNiMnCoO2), LCO (LiCoO2),LFP (LiFePO4) [54,26]</v>
      </c>
      <c r="AB35" t="str" cm="1">
        <f t="array" ref="AB35">IFERROR(_xlfn.LET(_xlpm.txt,C35,_xlpm.inside,MID(_xlpm.txt,FIND("[",_xlpm.txt)+1,FIND("]",_xlpm.txt)-FIND("[",_xlpm.txt)-1),_xlpm.nums,VALUE(_xlfn.TEXTSPLIT(_xlpm.inside,",")),_xlpm.mapped,_xlfn.XLOOKUP(_xlpm.nums,$X$2:$X$100,$Y$2:$Y$100),SUBSTITUTE(_xlpm.txt,"["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"]")),C35)</f>
        <v>Electrode sludges</v>
      </c>
      <c r="AC35" t="str" cm="1">
        <f t="array" ref="AC35">IFERROR(_xlfn.LET(_xlpm.txt,D35,_xlpm.inside,MID(_xlpm.txt,FIND("[",_xlpm.txt)+1,FIND("]",_xlpm.txt)-FIND("[",_xlpm.txt)-1),_xlpm.nums,VALUE(_xlfn.TEXTSPLIT(_xlpm.inside,",")),_xlpm.mapped,_xlfn.XLOOKUP(_xlpm.nums,$X$2:$X$100,$Y$2:$Y$100),SUBSTITUTE(_xlpm.txt,"["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"]")),D35)</f>
        <v>LIB recycling – post–shredding separation [26,54]</v>
      </c>
      <c r="AD35" t="str" cm="1">
        <f t="array" ref="AD35">IFERROR(_xlfn.LET(_xlpm.txt,E35,_xlpm.inside,MID(_xlpm.txt,FIND("[",_xlpm.txt)+1,FIND("]",_xlpm.txt)-FIND("[",_xlpm.txt)-1),_xlpm.nums,VALUE(_xlfn.TEXTSPLIT(_xlpm.inside,",")),_xlpm.mapped,_xlfn.XLOOKUP(_xlpm.nums,$X$2:$X$100,$Y$2:$Y$100),SUBSTITUTE(_xlpm.txt,"["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"]")),E35)</f>
        <v>Electrolyte removal via washing or thermal stripping [36]
Hydrometallurgical processing to dissolve active metals [25]
C purification via calcination or activation process [36]</v>
      </c>
      <c r="AE35" t="str" cm="1">
        <f t="array" ref="AE35">IFERROR(_xlfn.LET(_xlpm.txt,F35,_xlpm.inside,MID(_xlpm.txt,FIND("[",_xlpm.txt)+1,FIND("]",_xlpm.txt)-FIND("[",_xlpm.txt)-1),_xlpm.nums,VALUE(_xlfn.TEXTSPLIT(_xlpm.inside,",")),_xlpm.mapped,_xlfn.XLOOKUP(_xlpm.nums,$X$2:$X$100,$Y$2:$Y$100),SUBSTITUTE(_xlpm.txt,"["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"]")),F35)</f>
        <v>Electrolyte or polymer contamination [54]</v>
      </c>
      <c r="AF35" t="str" cm="1">
        <f t="array" ref="AF35">IFERROR(_xlfn.LET(_xlpm.txt,G35,_xlpm.inside,MID(_xlpm.txt,FIND("[",_xlpm.txt)+1,FIND("]",_xlpm.txt)-FIND("[",_xlpm.txt)-1),_xlpm.nums,VALUE(_xlfn.TEXTSPLIT(_xlpm.inside,",")),_xlpm.mapped,_xlfn.XLOOKUP(_xlpm.nums,$X$2:$X$100,$Y$2:$Y$100),SUBSTITUTE(_xlpm.txt,"["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"]")),G35)</f>
        <v>Recovery of Co, Ni, Li metals from the refined sludges provide high purity precursors for manufacturing of battery [54]</v>
      </c>
      <c r="AG35" t="str" cm="1">
        <f t="array" ref="AG35">IFERROR(_xlfn.LET(_xlpm.txt,H35,_xlpm.inside,MID(_xlpm.txt,FIND("[",_xlpm.txt)+1,FIND("]",_xlpm.txt)-FIND("[",_xlpm.txt)-1),_xlpm.nums,VALUE(_xlfn.TEXTSPLIT(_xlpm.inside,",")),_xlpm.mapped,_xlfn.XLOOKUP(_xlpm.nums,$X$2:$X$100,$Y$2:$Y$100),SUBSTITUTE(_xlpm.txt,"["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"]")),H35)</f>
        <v>C anode materials, NaF recovery, SiC [54]</v>
      </c>
      <c r="AH35" t="str" cm="1">
        <f t="array" ref="AH35">IFERROR(_xlfn.LET(_xlpm.txt,I35,_xlpm.inside,MID(_xlpm.txt,FIND("[",_xlpm.txt)+1,FIND("]",_xlpm.txt)-FIND("[",_xlpm.txt)-1),_xlpm.nums,VALUE(_xlfn.TEXTSPLIT(_xlpm.inside,",")),_xlpm.mapped,_xlfn.XLOOKUP(_xlpm.nums,$X$2:$X$100,$Y$2:$Y$100),SUBSTITUTE(_xlpm.txt,"["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"]")),I35)</f>
        <v>Li (battery grade), Mn (battery grade) [54]</v>
      </c>
      <c r="AI35" t="str" cm="1">
        <f t="array" ref="AI35">IFERROR(_xlfn.LET(_xlpm.txt,J35,_xlpm.inside,MID(_xlpm.txt,FIND("[",_xlpm.txt)+1,FIND("]",_xlpm.txt)-FIND("[",_xlpm.txt)-1),_xlpm.nums,VALUE(_xlfn.TEXTSPLIT(_xlpm.inside,",")),_xlpm.mapped,_xlfn.XLOOKUP(_xlpm.nums,$X$2:$X$100,$Y$2:$Y$100),SUBSTITUTE(_xlpm.txt,"["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"]")),J35)</f>
        <v>Li, Co, Ni (battery grade), Mn (battery grade) [54]</v>
      </c>
      <c r="AJ35" t="str" cm="1">
        <f t="array" ref="AJ35">IFERROR(_xlfn.LET(_xlpm.txt,K35,_xlpm.inside,MID(_xlpm.txt,FIND("[",_xlpm.txt)+1,FIND("]",_xlpm.txt)-FIND("[",_xlpm.txt)-1),_xlpm.nums,VALUE(_xlfn.TEXTSPLIT(_xlpm.inside,",")),_xlpm.mapped,_xlfn.XLOOKUP(_xlpm.nums,$X$2:$X$100,$Y$2:$Y$100),SUBSTITUTE(_xlpm.txt,"["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"]")),K35)</f>
        <v>Pb
Sb
As
Ni
Li
C [54]</v>
      </c>
      <c r="AK35" t="str" cm="1">
        <f t="array" ref="AK35">IFERROR(_xlfn.LET(_xlpm.txt,L35,_xlpm.inside,MID(_xlpm.txt,FIND("[",_xlpm.txt)+1,FIND("]",_xlpm.txt)-FIND("[",_xlpm.txt)-1),_xlpm.nums,VALUE(_xlfn.TEXTSPLIT(_xlpm.inside,",")),_xlpm.mapped,_xlfn.XLOOKUP(_xlpm.nums,$X$2:$X$100,$Y$2:$Y$100),SUBSTITUTE(_xlpm.txt,"["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"]")),L35)</f>
        <v>Metallic lead (Pb)
Metal antimonates
Graphite [54]</v>
      </c>
      <c r="AL35" t="str" cm="1">
        <f t="array" ref="AL35">IFERROR(_xlfn.LET(_xlpm.txt,M35,_xlpm.inside,MID(_xlpm.txt,FIND("[",_xlpm.txt)+1,FIND("]",_xlpm.txt)-FIND("[",_xlpm.txt)-1),_xlpm.nums,VALUE(_xlfn.TEXTSPLIT(_xlpm.inside,",")),_xlpm.mapped,_xlfn.XLOOKUP(_xlpm.nums,$X$2:$X$100,$Y$2:$Y$100),SUBSTITUTE(_xlpm.txt,"["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"]")),M35)</f>
        <v>Pb, Sb, As, Ni, Li, C [54]</v>
      </c>
      <c r="AM35" t="str" cm="1">
        <f t="array" ref="AM35">IFERROR(_xlfn.LET(_xlpm.txt,N35,_xlpm.inside,MID(_xlpm.txt,FIND("[",_xlpm.txt)+1,FIND("]",_xlpm.txt)-FIND("[",_xlpm.txt)-1),_xlpm.nums,VALUE(_xlfn.TEXTSPLIT(_xlpm.inside,",")),_xlpm.mapped,_xlfn.XLOOKUP(_xlpm.nums,$X$2:$X$100,$Y$2:$Y$100),SUBSTITUTE(_xlpm.txt,"["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"]")),N35)</f>
        <v>Wet solid or sludge state: refined battery or electrode processing residues [54]</v>
      </c>
      <c r="AN35" t="str" cm="1">
        <f t="array" ref="AN35">IFERROR(_xlfn.LET(_xlpm.txt,O35,_xlpm.inside,MID(_xlpm.txt,FIND("[",_xlpm.txt)+1,FIND("]",_xlpm.txt)-FIND("[",_xlpm.txt)-1),_xlpm.nums,VALUE(_xlfn.TEXTSPLIT(_xlpm.inside,",")),_xlpm.mapped,_xlfn.XLOOKUP(_xlpm.nums,$X$2:$X$100,$Y$2:$Y$100),SUBSTITUTE(_xlpm.txt,"["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"]")),O35)</f>
        <v>1020.6 t/year (annual campaign cap – Pilot project) [7]</v>
      </c>
      <c r="AO35" t="str" cm="1">
        <f t="array" ref="AO35">IFERROR(_xlfn.LET(_xlpm.txt,P35,_xlpm.inside,MID(_xlpm.txt,FIND("[",_xlpm.txt)+1,FIND("]",_xlpm.txt)-FIND("[",_xlpm.txt)-1),_xlpm.nums,VALUE(_xlfn.TEXTSPLIT(_xlpm.inside,",")),_xlpm.mapped,_xlfn.XLOOKUP(_xlpm.nums,$X$2:$X$100,$Y$2:$Y$100),SUBSTITUTE(_xlpm.txt,"["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"]")),P35)</f>
        <v>Acidic–neutral: secondary refinery residues [54]</v>
      </c>
      <c r="AP35" t="str" cm="1">
        <f t="array" ref="AP35">IFERROR(_xlfn.LET(_xlpm.txt,Q35,_xlpm.inside,MID(_xlpm.txt,FIND("[",_xlpm.txt)+1,FIND("]",_xlpm.txt)-FIND("[",_xlpm.txt)-1),_xlpm.nums,VALUE(_xlfn.TEXTSPLIT(_xlpm.inside,",")),_xlpm.mapped,_xlfn.XLOOKUP(_xlpm.nums,$X$2:$X$100,$Y$2:$Y$100),SUBSTITUTE(_xlpm.txt,"["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"]")),Q35)</f>
        <v>High: refining residue handled as wet sludge [54]</v>
      </c>
    </row>
    <row r="36" spans="1:42" ht="102" x14ac:dyDescent="0.2">
      <c r="A36" s="57" t="s">
        <v>313</v>
      </c>
      <c r="B36" s="21" t="s">
        <v>1419</v>
      </c>
      <c r="C36" s="21" t="s">
        <v>36</v>
      </c>
      <c r="D36" s="21" t="s">
        <v>1420</v>
      </c>
      <c r="E36" s="21" t="s">
        <v>1421</v>
      </c>
      <c r="F36" s="21" t="s">
        <v>1422</v>
      </c>
      <c r="G36" s="21" t="s">
        <v>1624</v>
      </c>
      <c r="H36" s="21" t="s">
        <v>1613</v>
      </c>
      <c r="I36" s="21" t="s">
        <v>1423</v>
      </c>
      <c r="J36" s="21" t="s">
        <v>1424</v>
      </c>
      <c r="K36" s="21" t="s">
        <v>1425</v>
      </c>
      <c r="L36" s="21" t="s">
        <v>1426</v>
      </c>
      <c r="M36" s="22" t="s">
        <v>1427</v>
      </c>
      <c r="N36" s="22" t="s">
        <v>1428</v>
      </c>
      <c r="O36" s="21" t="s">
        <v>235</v>
      </c>
      <c r="P36" s="21" t="s">
        <v>1429</v>
      </c>
      <c r="Q36" s="21" t="s">
        <v>1430</v>
      </c>
      <c r="X36" s="36">
        <v>40</v>
      </c>
      <c r="Y36" s="63">
        <v>39</v>
      </c>
      <c r="AA36" t="str" cm="1">
        <f t="array" ref="AA36">IFERROR(_xlfn.LET(_xlpm.txt,B36,_xlpm.inside,MID(_xlpm.txt,FIND("[",_xlpm.txt)+1,FIND("]",_xlpm.txt)-FIND("[",_xlpm.txt)-1),_xlpm.nums,VALUE(_xlfn.TEXTSPLIT(_xlpm.inside,",")),_xlpm.mapped,_xlfn.XLOOKUP(_xlpm.nums,$X$2:$X$100,$Y$2:$Y$100),SUBSTITUTE(_xlpm.txt,"["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"]")),B36)</f>
        <v>Printed circuit boards (PCBs), electronic components [50,25]</v>
      </c>
      <c r="AB36" t="str" cm="1">
        <f t="array" ref="AB36">IFERROR(_xlfn.LET(_xlpm.txt,C36,_xlpm.inside,MID(_xlpm.txt,FIND("[",_xlpm.txt)+1,FIND("]",_xlpm.txt)-FIND("[",_xlpm.txt)-1),_xlpm.nums,VALUE(_xlfn.TEXTSPLIT(_xlpm.inside,",")),_xlpm.mapped,_xlfn.XLOOKUP(_xlpm.nums,$X$2:$X$100,$Y$2:$Y$100),SUBSTITUTE(_xlpm.txt,"["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"]")),C36)</f>
        <v>Circuit board (PCB) concentrates</v>
      </c>
      <c r="AC36" t="str" cm="1">
        <f t="array" ref="AC36">IFERROR(_xlfn.LET(_xlpm.txt,D36,_xlpm.inside,MID(_xlpm.txt,FIND("[",_xlpm.txt)+1,FIND("]",_xlpm.txt)-FIND("[",_xlpm.txt)-1),_xlpm.nums,VALUE(_xlfn.TEXTSPLIT(_xlpm.inside,",")),_xlpm.mapped,_xlfn.XLOOKUP(_xlpm.nums,$X$2:$X$100,$Y$2:$Y$100),SUBSTITUTE(_xlpm.txt,"["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"]")),D36)</f>
        <v>E–waste – shredding of smelting feed [36,54,50]</v>
      </c>
      <c r="AD36" t="str" cm="1">
        <f t="array" ref="AD36">IFERROR(_xlfn.LET(_xlpm.txt,E36,_xlpm.inside,MID(_xlpm.txt,FIND("[",_xlpm.txt)+1,FIND("]",_xlpm.txt)-FIND("[",_xlpm.txt)-1),_xlpm.nums,VALUE(_xlfn.TEXTSPLIT(_xlpm.inside,",")),_xlpm.mapped,_xlfn.XLOOKUP(_xlpm.nums,$X$2:$X$100,$Y$2:$Y$100),SUBSTITUTE(_xlpm.txt,"["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"]")),E36)</f>
        <v>Comminution to liberate metal–bearing fractions [36]
Pyrometallurgical smelting to concentrated metals [36]
Hydrometallurgical leaching for metal recovery of Cu, Au, Ag, PGMs [49]</v>
      </c>
      <c r="AE36" t="str" cm="1">
        <f t="array" ref="AE36">IFERROR(_xlfn.LET(_xlpm.txt,F36,_xlpm.inside,MID(_xlpm.txt,FIND("[",_xlpm.txt)+1,FIND("]",_xlpm.txt)-FIND("[",_xlpm.txt)-1),_xlpm.nums,VALUE(_xlfn.TEXTSPLIT(_xlpm.inside,",")),_xlpm.mapped,_xlfn.XLOOKUP(_xlpm.nums,$X$2:$X$100,$Y$2:$Y$100),SUBSTITUTE(_xlpm.txt,"["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"]")),F36)</f>
        <v>High organics present, multi–stage pretreatment required [54,50]</v>
      </c>
      <c r="AF36" t="str" cm="1">
        <f t="array" ref="AF36">IFERROR(_xlfn.LET(_xlpm.txt,G36,_xlpm.inside,MID(_xlpm.txt,FIND("[",_xlpm.txt)+1,FIND("]",_xlpm.txt)-FIND("[",_xlpm.txt)-1),_xlpm.nums,VALUE(_xlfn.TEXTSPLIT(_xlpm.inside,",")),_xlpm.mapped,_xlfn.XLOOKUP(_xlpm.nums,$X$2:$X$100,$Y$2:$Y$100),SUBSTITUTE(_xlpm.txt,"["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"]")),G36)</f>
        <v>Au concentration is high which can boost the profitability of electronic waste recycling [54]</v>
      </c>
      <c r="AG36" t="str" cm="1">
        <f t="array" ref="AG36">IFERROR(_xlfn.LET(_xlpm.txt,H36,_xlpm.inside,MID(_xlpm.txt,FIND("[",_xlpm.txt)+1,FIND("]",_xlpm.txt)-FIND("[",_xlpm.txt)-1),_xlpm.nums,VALUE(_xlfn.TEXTSPLIT(_xlpm.inside,",")),_xlpm.mapped,_xlfn.XLOOKUP(_xlpm.nums,$X$2:$X$100,$Y$2:$Y$100),SUBSTITUTE(_xlpm.txt,"["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"]")),H36)</f>
        <v>Refined Au, Ag, Pd, secondary Cu or Al alloys [50,54]</v>
      </c>
      <c r="AH36" t="str" cm="1">
        <f t="array" ref="AH36">IFERROR(_xlfn.LET(_xlpm.txt,I36,_xlpm.inside,MID(_xlpm.txt,FIND("[",_xlpm.txt)+1,FIND("]",_xlpm.txt)-FIND("[",_xlpm.txt)-1),_xlpm.nums,VALUE(_xlfn.TEXTSPLIT(_xlpm.inside,",")),_xlpm.mapped,_xlfn.XLOOKUP(_xlpm.nums,$X$2:$X$100,$Y$2:$Y$100),SUBSTITUTE(_xlpm.txt,"["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"]")),I36)</f>
        <v>Ta, Be, PGMs (Pd) [54]</v>
      </c>
      <c r="AI36" t="str" cm="1">
        <f t="array" ref="AI36">IFERROR(_xlfn.LET(_xlpm.txt,J36,_xlpm.inside,MID(_xlpm.txt,FIND("[",_xlpm.txt)+1,FIND("]",_xlpm.txt)-FIND("[",_xlpm.txt)-1),_xlpm.nums,VALUE(_xlfn.TEXTSPLIT(_xlpm.inside,",")),_xlpm.mapped,_xlfn.XLOOKUP(_xlpm.nums,$X$2:$X$100,$Y$2:$Y$100),SUBSTITUTE(_xlpm.txt,"["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"]")),J36)</f>
        <v>Cu, PGMs (Pt, Pd) [50]</v>
      </c>
      <c r="AJ36" t="str" cm="1">
        <f t="array" ref="AJ36">IFERROR(_xlfn.LET(_xlpm.txt,K36,_xlpm.inside,MID(_xlpm.txt,FIND("[",_xlpm.txt)+1,FIND("]",_xlpm.txt)-FIND("[",_xlpm.txt)-1),_xlpm.nums,VALUE(_xlfn.TEXTSPLIT(_xlpm.inside,",")),_xlpm.mapped,_xlfn.XLOOKUP(_xlpm.nums,$X$2:$X$100,$Y$2:$Y$100),SUBSTITUTE(_xlpm.txt,"["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"]")),K36)</f>
        <v>Au (0.1–1.5%)
Ag
Pd
Cu
Sn
Pb in solid wt% [19,54]</v>
      </c>
      <c r="AK36" t="str" cm="1">
        <f t="array" ref="AK36">IFERROR(_xlfn.LET(_xlpm.txt,L36,_xlpm.inside,MID(_xlpm.txt,FIND("[",_xlpm.txt)+1,FIND("]",_xlpm.txt)-FIND("[",_xlpm.txt)-1),_xlpm.nums,VALUE(_xlfn.TEXTSPLIT(_xlpm.inside,",")),_xlpm.mapped,_xlfn.XLOOKUP(_xlpm.nums,$X$2:$X$100,$Y$2:$Y$100),SUBSTITUTE(_xlpm.txt,"["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"]")),L36)</f>
        <v>Metallic alloy (Cu– Sn– Pb)
Noble metal particulates (Au, Ag, Pd) [24,54]</v>
      </c>
      <c r="AL36" t="str" cm="1">
        <f t="array" ref="AL36">IFERROR(_xlfn.LET(_xlpm.txt,M36,_xlpm.inside,MID(_xlpm.txt,FIND("[",_xlpm.txt)+1,FIND("]",_xlpm.txt)-FIND("[",_xlpm.txt)-1),_xlpm.nums,VALUE(_xlfn.TEXTSPLIT(_xlpm.inside,",")),_xlpm.mapped,_xlfn.XLOOKUP(_xlpm.nums,$X$2:$X$100,$Y$2:$Y$100),SUBSTITUTE(_xlpm.txt,"["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"]")),M36)</f>
        <v>Au, Ag, Pd, Cu, Sn, Ni, Al, Fe, Si, O [24,54]</v>
      </c>
      <c r="AM36" t="str" cm="1">
        <f t="array" ref="AM36">IFERROR(_xlfn.LET(_xlpm.txt,N36,_xlpm.inside,MID(_xlpm.txt,FIND("[",_xlpm.txt)+1,FIND("]",_xlpm.txt)-FIND("[",_xlpm.txt)-1),_xlpm.nums,VALUE(_xlfn.TEXTSPLIT(_xlpm.inside,",")),_xlpm.mapped,_xlfn.XLOOKUP(_xlpm.nums,$X$2:$X$100,$Y$2:$Y$100),SUBSTITUTE(_xlpm.txt,"["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"]")),N36)</f>
        <v>Solid state: particulate fines or shredded board fragments [50]</v>
      </c>
      <c r="AN36" t="str" cm="1">
        <f t="array" ref="AN36">IFERROR(_xlfn.LET(_xlpm.txt,O36,_xlpm.inside,MID(_xlpm.txt,FIND("[",_xlpm.txt)+1,FIND("]",_xlpm.txt)-FIND("[",_xlpm.txt)-1),_xlpm.nums,VALUE(_xlfn.TEXTSPLIT(_xlpm.inside,",")),_xlpm.mapped,_xlfn.XLOOKUP(_xlpm.nums,$X$2:$X$100,$Y$2:$Y$100),SUBSTITUTE(_xlpm.txt,"["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"]")),O36)</f>
        <v>Unavailable data</v>
      </c>
      <c r="AO36" t="str" cm="1">
        <f t="array" ref="AO36">IFERROR(_xlfn.LET(_xlpm.txt,P36,_xlpm.inside,MID(_xlpm.txt,FIND("[",_xlpm.txt)+1,FIND("]",_xlpm.txt)-FIND("[",_xlpm.txt)-1),_xlpm.nums,VALUE(_xlfn.TEXTSPLIT(_xlpm.inside,",")),_xlpm.mapped,_xlfn.XLOOKUP(_xlpm.nums,$X$2:$X$100,$Y$2:$Y$100),SUBSTITUTE(_xlpm.txt,"["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"]")),P36)</f>
        <v>Acidic: processed in aqua regia or H2SO4) [50]</v>
      </c>
      <c r="AP36" t="str" cm="1">
        <f t="array" ref="AP36">IFERROR(_xlfn.LET(_xlpm.txt,Q36,_xlpm.inside,MID(_xlpm.txt,FIND("[",_xlpm.txt)+1,FIND("]",_xlpm.txt)-FIND("[",_xlpm.txt)-1),_xlpm.nums,VALUE(_xlfn.TEXTSPLIT(_xlpm.inside,",")),_xlpm.mapped,_xlfn.XLOOKUP(_xlpm.nums,$X$2:$X$100,$Y$2:$Y$100),SUBSTITUTE(_xlpm.txt,"["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"]")),Q36)</f>
        <v>Low: shredded dry metallic particulate [50]</v>
      </c>
    </row>
    <row r="37" spans="1:42" ht="85" x14ac:dyDescent="0.2">
      <c r="A37" s="57" t="s">
        <v>313</v>
      </c>
      <c r="B37" s="21" t="s">
        <v>1419</v>
      </c>
      <c r="C37" s="21" t="s">
        <v>314</v>
      </c>
      <c r="D37" s="21" t="s">
        <v>1431</v>
      </c>
      <c r="E37" s="21" t="s">
        <v>1432</v>
      </c>
      <c r="F37" s="21" t="s">
        <v>1433</v>
      </c>
      <c r="G37" s="21" t="s">
        <v>1655</v>
      </c>
      <c r="H37" s="21" t="s">
        <v>1434</v>
      </c>
      <c r="I37" s="21" t="s">
        <v>237</v>
      </c>
      <c r="J37" s="21" t="s">
        <v>1435</v>
      </c>
      <c r="K37" s="21" t="s">
        <v>1436</v>
      </c>
      <c r="L37" s="21" t="s">
        <v>1437</v>
      </c>
      <c r="M37" s="21" t="s">
        <v>1438</v>
      </c>
      <c r="N37" s="21" t="s">
        <v>1439</v>
      </c>
      <c r="O37" s="21" t="s">
        <v>235</v>
      </c>
      <c r="P37" s="21" t="s">
        <v>1440</v>
      </c>
      <c r="Q37" s="21" t="s">
        <v>1441</v>
      </c>
      <c r="X37" s="36">
        <v>41</v>
      </c>
      <c r="Y37" s="63">
        <v>29</v>
      </c>
      <c r="AA37" t="str" cm="1">
        <f t="array" ref="AA37">IFERROR(_xlfn.LET(_xlpm.txt,B37,_xlpm.inside,MID(_xlpm.txt,FIND("[",_xlpm.txt)+1,FIND("]",_xlpm.txt)-FIND("[",_xlpm.txt)-1),_xlpm.nums,VALUE(_xlfn.TEXTSPLIT(_xlpm.inside,",")),_xlpm.mapped,_xlfn.XLOOKUP(_xlpm.nums,$X$2:$X$100,$Y$2:$Y$100),SUBSTITUTE(_xlpm.txt,"["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"]")),B37)</f>
        <v>Printed circuit boards (PCBs), electronic components [50,25]</v>
      </c>
      <c r="AB37" t="str" cm="1">
        <f t="array" ref="AB37">IFERROR(_xlfn.LET(_xlpm.txt,C37,_xlpm.inside,MID(_xlpm.txt,FIND("[",_xlpm.txt)+1,FIND("]",_xlpm.txt)-FIND("[",_xlpm.txt)-1),_xlpm.nums,VALUE(_xlfn.TEXTSPLIT(_xlpm.inside,",")),_xlpm.mapped,_xlfn.XLOOKUP(_xlpm.nums,$X$2:$X$100,$Y$2:$Y$100),SUBSTITUTE(_xlpm.txt,"["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"]")),C37)</f>
        <v>Smelter slag from e–waste</v>
      </c>
      <c r="AC37" t="str" cm="1">
        <f t="array" ref="AC37">IFERROR(_xlfn.LET(_xlpm.txt,D37,_xlpm.inside,MID(_xlpm.txt,FIND("[",_xlpm.txt)+1,FIND("]",_xlpm.txt)-FIND("[",_xlpm.txt)-1),_xlpm.nums,VALUE(_xlfn.TEXTSPLIT(_xlpm.inside,",")),_xlpm.mapped,_xlfn.XLOOKUP(_xlpm.nums,$X$2:$X$100,$Y$2:$Y$100),SUBSTITUTE(_xlpm.txt,"["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"]")),D37)</f>
        <v>E–waste – pyrometallurgical smelting [36,54,50]</v>
      </c>
      <c r="AD37" t="str" cm="1">
        <f t="array" ref="AD37">IFERROR(_xlfn.LET(_xlpm.txt,E37,_xlpm.inside,MID(_xlpm.txt,FIND("[",_xlpm.txt)+1,FIND("]",_xlpm.txt)-FIND("[",_xlpm.txt)-1),_xlpm.nums,VALUE(_xlfn.TEXTSPLIT(_xlpm.inside,",")),_xlpm.mapped,_xlfn.XLOOKUP(_xlpm.nums,$X$2:$X$100,$Y$2:$Y$100),SUBSTITUTE(_xlpm.txt,"["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"]")),E37)</f>
        <v>Re–smelting to improve metal separation [36]
Selective leaching to dissolve valuable metals [36]</v>
      </c>
      <c r="AE37" t="str" cm="1">
        <f t="array" ref="AE37">IFERROR(_xlfn.LET(_xlpm.txt,F37,_xlpm.inside,MID(_xlpm.txt,FIND("[",_xlpm.txt)+1,FIND("]",_xlpm.txt)-FIND("[",_xlpm.txt)-1),_xlpm.nums,VALUE(_xlfn.TEXTSPLIT(_xlpm.inside,",")),_xlpm.mapped,_xlfn.XLOOKUP(_xlpm.nums,$X$2:$X$100,$Y$2:$Y$100),SUBSTITUTE(_xlpm.txt,"["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"]")),F37)</f>
        <v>Halogens or organics contamination [54,50]</v>
      </c>
      <c r="AF37" t="str" cm="1">
        <f t="array" ref="AF37">IFERROR(_xlfn.LET(_xlpm.txt,G37,_xlpm.inside,MID(_xlpm.txt,FIND("[",_xlpm.txt)+1,FIND("]",_xlpm.txt)-FIND("[",_xlpm.txt)-1),_xlpm.nums,VALUE(_xlfn.TEXTSPLIT(_xlpm.inside,",")),_xlpm.mapped,_xlfn.XLOOKUP(_xlpm.nums,$X$2:$X$100,$Y$2:$Y$100),SUBSTITUTE(_xlpm.txt,"["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"]")),G37)</f>
        <v>Recovery of precious metals from the slags are major economic drivers for smelter operations [30]</v>
      </c>
      <c r="AG37" t="str" cm="1">
        <f t="array" ref="AG37">IFERROR(_xlfn.LET(_xlpm.txt,H37,_xlpm.inside,MID(_xlpm.txt,FIND("[",_xlpm.txt)+1,FIND("]",_xlpm.txt)-FIND("[",_xlpm.txt)-1),_xlpm.nums,VALUE(_xlfn.TEXTSPLIT(_xlpm.inside,",")),_xlpm.mapped,_xlfn.XLOOKUP(_xlpm.nums,$X$2:$X$100,$Y$2:$Y$100),SUBSTITUTE(_xlpm.txt,"["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"]")),H37)</f>
        <v>Cu or PGM recovery, construction material [26]</v>
      </c>
      <c r="AH37" t="str" cm="1">
        <f t="array" ref="AH37">IFERROR(_xlfn.LET(_xlpm.txt,I37,_xlpm.inside,MID(_xlpm.txt,FIND("[",_xlpm.txt)+1,FIND("]",_xlpm.txt)-FIND("[",_xlpm.txt)-1),_xlpm.nums,VALUE(_xlfn.TEXTSPLIT(_xlpm.inside,",")),_xlpm.mapped,_xlfn.XLOOKUP(_xlpm.nums,$X$2:$X$100,$Y$2:$Y$100),SUBSTITUTE(_xlpm.txt,"["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"]")),I37)</f>
        <v>Not applicable</v>
      </c>
      <c r="AI37" t="str" cm="1">
        <f t="array" ref="AI37">IFERROR(_xlfn.LET(_xlpm.txt,J37,_xlpm.inside,MID(_xlpm.txt,FIND("[",_xlpm.txt)+1,FIND("]",_xlpm.txt)-FIND("[",_xlpm.txt)-1),_xlpm.nums,VALUE(_xlfn.TEXTSPLIT(_xlpm.inside,",")),_xlpm.mapped,_xlfn.XLOOKUP(_xlpm.nums,$X$2:$X$100,$Y$2:$Y$100),SUBSTITUTE(_xlpm.txt,"["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"]")),J37)</f>
        <v>Cu, PGMs [26]</v>
      </c>
      <c r="AJ37" t="str" cm="1">
        <f t="array" ref="AJ37">IFERROR(_xlfn.LET(_xlpm.txt,K37,_xlpm.inside,MID(_xlpm.txt,FIND("[",_xlpm.txt)+1,FIND("]",_xlpm.txt)-FIND("[",_xlpm.txt)-1),_xlpm.nums,VALUE(_xlfn.TEXTSPLIT(_xlpm.inside,",")),_xlpm.mapped,_xlfn.XLOOKUP(_xlpm.nums,$X$2:$X$100,$Y$2:$Y$100),SUBSTITUTE(_xlpm.txt,"["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"]")),K37)</f>
        <v>Fe
SiO2
Al2O3
Cu (residual)
Other strategic metals [54]</v>
      </c>
      <c r="AK37" t="str" cm="1">
        <f t="array" ref="AK37">IFERROR(_xlfn.LET(_xlpm.txt,L37,_xlpm.inside,MID(_xlpm.txt,FIND("[",_xlpm.txt)+1,FIND("]",_xlpm.txt)-FIND("[",_xlpm.txt)-1),_xlpm.nums,VALUE(_xlfn.TEXTSPLIT(_xlpm.inside,",")),_xlpm.mapped,_xlfn.XLOOKUP(_xlpm.nums,$X$2:$X$100,$Y$2:$Y$100),SUBSTITUTE(_xlpm.txt,"["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"]")),L37)</f>
        <v>Fayalite (Fe2​SiO4​)
Magnetite (Fe3​O4​)
Cu–rich droplets
Spinel [54]</v>
      </c>
      <c r="AL37" t="str" cm="1">
        <f t="array" ref="AL37">IFERROR(_xlfn.LET(_xlpm.txt,M37,_xlpm.inside,MID(_xlpm.txt,FIND("[",_xlpm.txt)+1,FIND("]",_xlpm.txt)-FIND("[",_xlpm.txt)-1),_xlpm.nums,VALUE(_xlfn.TEXTSPLIT(_xlpm.inside,",")),_xlpm.mapped,_xlfn.XLOOKUP(_xlpm.nums,$X$2:$X$100,$Y$2:$Y$100),SUBSTITUTE(_xlpm.txt,"["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"]")),M37)</f>
        <v>Fe, Si, Al, Cu, O, Au, Ag, Pd [54]</v>
      </c>
      <c r="AM37" t="str" cm="1">
        <f t="array" ref="AM37">IFERROR(_xlfn.LET(_xlpm.txt,N37,_xlpm.inside,MID(_xlpm.txt,FIND("[",_xlpm.txt)+1,FIND("]",_xlpm.txt)-FIND("[",_xlpm.txt)-1),_xlpm.nums,VALUE(_xlfn.TEXTSPLIT(_xlpm.inside,",")),_xlpm.mapped,_xlfn.XLOOKUP(_xlpm.nums,$X$2:$X$100,$Y$2:$Y$100),SUBSTITUTE(_xlpm.txt,"["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"]")),N37)</f>
        <v>Solid state: granular, stony, or vitrified or glassy slag [54]</v>
      </c>
      <c r="AN37" t="str" cm="1">
        <f t="array" ref="AN37">IFERROR(_xlfn.LET(_xlpm.txt,O37,_xlpm.inside,MID(_xlpm.txt,FIND("[",_xlpm.txt)+1,FIND("]",_xlpm.txt)-FIND("[",_xlpm.txt)-1),_xlpm.nums,VALUE(_xlfn.TEXTSPLIT(_xlpm.inside,",")),_xlpm.mapped,_xlfn.XLOOKUP(_xlpm.nums,$X$2:$X$100,$Y$2:$Y$100),SUBSTITUTE(_xlpm.txt,"["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"]")),O37)</f>
        <v>Unavailable data</v>
      </c>
      <c r="AO37" t="str" cm="1">
        <f t="array" ref="AO37">IFERROR(_xlfn.LET(_xlpm.txt,P37,_xlpm.inside,MID(_xlpm.txt,FIND("[",_xlpm.txt)+1,FIND("]",_xlpm.txt)-FIND("[",_xlpm.txt)-1),_xlpm.nums,VALUE(_xlfn.TEXTSPLIT(_xlpm.inside,",")),_xlpm.mapped,_xlfn.XLOOKUP(_xlpm.nums,$X$2:$X$100,$Y$2:$Y$100),SUBSTITUTE(_xlpm.txt,"["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"]")),P37)</f>
        <v>Alkaline: silicate–rich fayalithic slag [26]</v>
      </c>
      <c r="AP37" t="str" cm="1">
        <f t="array" ref="AP37">IFERROR(_xlfn.LET(_xlpm.txt,Q37,_xlpm.inside,MID(_xlpm.txt,FIND("[",_xlpm.txt)+1,FIND("]",_xlpm.txt)-FIND("[",_xlpm.txt)-1),_xlpm.nums,VALUE(_xlfn.TEXTSPLIT(_xlpm.inside,",")),_xlpm.mapped,_xlfn.XLOOKUP(_xlpm.nums,$X$2:$X$100,$Y$2:$Y$100),SUBSTITUTE(_xlpm.txt,"["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"]")),Q37)</f>
        <v>Low: vitrified or stony metallurgical solid slag [26]</v>
      </c>
    </row>
    <row r="38" spans="1:42" ht="102" x14ac:dyDescent="0.2">
      <c r="A38" s="57" t="s">
        <v>313</v>
      </c>
      <c r="B38" s="21" t="s">
        <v>1419</v>
      </c>
      <c r="C38" s="21" t="s">
        <v>315</v>
      </c>
      <c r="D38" s="21" t="s">
        <v>1442</v>
      </c>
      <c r="E38" s="21" t="s">
        <v>1443</v>
      </c>
      <c r="F38" s="21" t="s">
        <v>1444</v>
      </c>
      <c r="G38" s="21" t="s">
        <v>1623</v>
      </c>
      <c r="H38" s="21" t="s">
        <v>1445</v>
      </c>
      <c r="I38" s="21" t="s">
        <v>1446</v>
      </c>
      <c r="J38" s="21" t="s">
        <v>1447</v>
      </c>
      <c r="K38" s="21" t="s">
        <v>1448</v>
      </c>
      <c r="L38" s="21" t="s">
        <v>1449</v>
      </c>
      <c r="M38" s="21" t="s">
        <v>1450</v>
      </c>
      <c r="N38" s="21" t="s">
        <v>1451</v>
      </c>
      <c r="O38" s="21" t="s">
        <v>235</v>
      </c>
      <c r="P38" s="21" t="s">
        <v>1452</v>
      </c>
      <c r="Q38" s="21" t="s">
        <v>1453</v>
      </c>
      <c r="X38" s="36">
        <v>42</v>
      </c>
      <c r="Y38" s="63">
        <v>14</v>
      </c>
      <c r="AA38" t="str" cm="1">
        <f t="array" ref="AA38">IFERROR(_xlfn.LET(_xlpm.txt,B38,_xlpm.inside,MID(_xlpm.txt,FIND("[",_xlpm.txt)+1,FIND("]",_xlpm.txt)-FIND("[",_xlpm.txt)-1),_xlpm.nums,VALUE(_xlfn.TEXTSPLIT(_xlpm.inside,",")),_xlpm.mapped,_xlfn.XLOOKUP(_xlpm.nums,$X$2:$X$100,$Y$2:$Y$100),SUBSTITUTE(_xlpm.txt,"["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"]")),B38)</f>
        <v>Printed circuit boards (PCBs), electronic components [50,25]</v>
      </c>
      <c r="AB38" t="str" cm="1">
        <f t="array" ref="AB38">IFERROR(_xlfn.LET(_xlpm.txt,C38,_xlpm.inside,MID(_xlpm.txt,FIND("[",_xlpm.txt)+1,FIND("]",_xlpm.txt)-FIND("[",_xlpm.txt)-1),_xlpm.nums,VALUE(_xlfn.TEXTSPLIT(_xlpm.inside,",")),_xlpm.mapped,_xlfn.XLOOKUP(_xlpm.nums,$X$2:$X$100,$Y$2:$Y$100),SUBSTITUTE(_xlpm.txt,"["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"]")),C38)</f>
        <v>Anode slimes from e–waste</v>
      </c>
      <c r="AC38" t="str" cm="1">
        <f t="array" ref="AC38">IFERROR(_xlfn.LET(_xlpm.txt,D38,_xlpm.inside,MID(_xlpm.txt,FIND("[",_xlpm.txt)+1,FIND("]",_xlpm.txt)-FIND("[",_xlpm.txt)-1),_xlpm.nums,VALUE(_xlfn.TEXTSPLIT(_xlpm.inside,",")),_xlpm.mapped,_xlfn.XLOOKUP(_xlpm.nums,$X$2:$X$100,$Y$2:$Y$100),SUBSTITUTE(_xlpm.txt,"["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"]")),D38)</f>
        <v>Cu electrorefining of e–waste [36,19]</v>
      </c>
      <c r="AD38" t="str" cm="1">
        <f t="array" ref="AD38">IFERROR(_xlfn.LET(_xlpm.txt,E38,_xlpm.inside,MID(_xlpm.txt,FIND("[",_xlpm.txt)+1,FIND("]",_xlpm.txt)-FIND("[",_xlpm.txt)-1),_xlpm.nums,VALUE(_xlfn.TEXTSPLIT(_xlpm.inside,",")),_xlpm.mapped,_xlfn.XLOOKUP(_xlpm.nums,$X$2:$X$100,$Y$2:$Y$100),SUBSTITUTE(_xlpm.txt,"["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"]")),E38)</f>
        <v>Roasting to break refractory metal phases [19]
Sequential leaching to extract Au, Ag, PGMs [21]
Electrorefining to obtain high–purity state of metals [19]</v>
      </c>
      <c r="AE38" t="str" cm="1">
        <f t="array" ref="AE38">IFERROR(_xlfn.LET(_xlpm.txt,F38,_xlpm.inside,MID(_xlpm.txt,FIND("[",_xlpm.txt)+1,FIND("]",_xlpm.txt)-FIND("[",_xlpm.txt)-1),_xlpm.nums,VALUE(_xlfn.TEXTSPLIT(_xlpm.inside,",")),_xlpm.mapped,_xlfn.XLOOKUP(_xlpm.nums,$X$2:$X$100,$Y$2:$Y$100),SUBSTITUTE(_xlpm.txt,"["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"]")),F38)</f>
        <v>Complex multi–metal phases [19]</v>
      </c>
      <c r="AF38" t="str" cm="1">
        <f t="array" ref="AF38">IFERROR(_xlfn.LET(_xlpm.txt,G38,_xlpm.inside,MID(_xlpm.txt,FIND("[",_xlpm.txt)+1,FIND("]",_xlpm.txt)-FIND("[",_xlpm.txt)-1),_xlpm.nums,VALUE(_xlfn.TEXTSPLIT(_xlpm.inside,",")),_xlpm.mapped,_xlfn.XLOOKUP(_xlpm.nums,$X$2:$X$100,$Y$2:$Y$100),SUBSTITUTE(_xlpm.txt,"["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"]")),G38)</f>
        <v>High enrichment of precious metals is one of the most profitable secondary source in the raw material sector [19]</v>
      </c>
      <c r="AG38" t="str" cm="1">
        <f t="array" ref="AG38">IFERROR(_xlfn.LET(_xlpm.txt,H38,_xlpm.inside,MID(_xlpm.txt,FIND("[",_xlpm.txt)+1,FIND("]",_xlpm.txt)-FIND("[",_xlpm.txt)-1),_xlpm.nums,VALUE(_xlfn.TEXTSPLIT(_xlpm.inside,",")),_xlpm.mapped,_xlfn.XLOOKUP(_xlpm.nums,$X$2:$X$100,$Y$2:$Y$100),SUBSTITUTE(_xlpm.txt,"["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"]")),H38)</f>
        <v>Electro–AU, refined Ag, SE or Te products [19]</v>
      </c>
      <c r="AH38" t="str" cm="1">
        <f t="array" ref="AH38">IFERROR(_xlfn.LET(_xlpm.txt,I38,_xlpm.inside,MID(_xlpm.txt,FIND("[",_xlpm.txt)+1,FIND("]",_xlpm.txt)-FIND("[",_xlpm.txt)-1),_xlpm.nums,VALUE(_xlfn.TEXTSPLIT(_xlpm.inside,",")),_xlpm.mapped,_xlfn.XLOOKUP(_xlpm.nums,$X$2:$X$100,$Y$2:$Y$100),SUBSTITUTE(_xlpm.txt,"["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"]")),I38)</f>
        <v>As, Sb [9]</v>
      </c>
      <c r="AI38" t="str" cm="1">
        <f t="array" ref="AI38">IFERROR(_xlfn.LET(_xlpm.txt,J38,_xlpm.inside,MID(_xlpm.txt,FIND("[",_xlpm.txt)+1,FIND("]",_xlpm.txt)-FIND("[",_xlpm.txt)-1),_xlpm.nums,VALUE(_xlfn.TEXTSPLIT(_xlpm.inside,",")),_xlpm.mapped,_xlfn.XLOOKUP(_xlpm.nums,$X$2:$X$100,$Y$2:$Y$100),SUBSTITUTE(_xlpm.txt,"["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"]")),J38)</f>
        <v>PGMs, Cu [19]</v>
      </c>
      <c r="AJ38" t="str" cm="1">
        <f t="array" ref="AJ38">IFERROR(_xlfn.LET(_xlpm.txt,K38,_xlpm.inside,MID(_xlpm.txt,FIND("[",_xlpm.txt)+1,FIND("]",_xlpm.txt)-FIND("[",_xlpm.txt)-1),_xlpm.nums,VALUE(_xlfn.TEXTSPLIT(_xlpm.inside,",")),_xlpm.mapped,_xlfn.XLOOKUP(_xlpm.nums,$X$2:$X$100,$Y$2:$Y$100),SUBSTITUTE(_xlpm.txt,"["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"]")),K38)</f>
        <v>Cu, Se, Sn, Pb and noble metals [19]</v>
      </c>
      <c r="AK38" t="str" cm="1">
        <f t="array" ref="AK38">IFERROR(_xlfn.LET(_xlpm.txt,L38,_xlpm.inside,MID(_xlpm.txt,FIND("[",_xlpm.txt)+1,FIND("]",_xlpm.txt)-FIND("[",_xlpm.txt)-1),_xlpm.nums,VALUE(_xlfn.TEXTSPLIT(_xlpm.inside,",")),_xlpm.mapped,_xlfn.XLOOKUP(_xlpm.nums,$X$2:$X$100,$Y$2:$Y$100),SUBSTITUTE(_xlpm.txt,"["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"]")),L38)</f>
        <v>Naumannite (Ag2​Se)
Cuprite (Cu2​O)
Anglesite (PbSO4​)
Metallic gold [19]</v>
      </c>
      <c r="AL38" t="str" cm="1">
        <f t="array" ref="AL38">IFERROR(_xlfn.LET(_xlpm.txt,M38,_xlpm.inside,MID(_xlpm.txt,FIND("[",_xlpm.txt)+1,FIND("]",_xlpm.txt)-FIND("[",_xlpm.txt)-1),_xlpm.nums,VALUE(_xlfn.TEXTSPLIT(_xlpm.inside,",")),_xlpm.mapped,_xlfn.XLOOKUP(_xlpm.nums,$X$2:$X$100,$Y$2:$Y$100),SUBSTITUTE(_xlpm.txt,"["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"]")),M38)</f>
        <v>Cu, Se, Sn, Pb, Au, Ag, Pd, Pt, Sb, As [19]</v>
      </c>
      <c r="AM38" t="str" cm="1">
        <f t="array" ref="AM38">IFERROR(_xlfn.LET(_xlpm.txt,N38,_xlpm.inside,MID(_xlpm.txt,FIND("[",_xlpm.txt)+1,FIND("]",_xlpm.txt)-FIND("[",_xlpm.txt)-1),_xlpm.nums,VALUE(_xlfn.TEXTSPLIT(_xlpm.inside,",")),_xlpm.mapped,_xlfn.XLOOKUP(_xlpm.nums,$X$2:$X$100,$Y$2:$Y$100),SUBSTITUTE(_xlpm.txt,"["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"]")),N38)</f>
        <v>Wet solid or slime state: concentrated precious metal residue [19]</v>
      </c>
      <c r="AN38" t="str" cm="1">
        <f t="array" ref="AN38">IFERROR(_xlfn.LET(_xlpm.txt,O38,_xlpm.inside,MID(_xlpm.txt,FIND("[",_xlpm.txt)+1,FIND("]",_xlpm.txt)-FIND("[",_xlpm.txt)-1),_xlpm.nums,VALUE(_xlfn.TEXTSPLIT(_xlpm.inside,",")),_xlpm.mapped,_xlfn.XLOOKUP(_xlpm.nums,$X$2:$X$100,$Y$2:$Y$100),SUBSTITUTE(_xlpm.txt,"["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"]")),O38)</f>
        <v>Unavailable data</v>
      </c>
      <c r="AO38" t="str" cm="1">
        <f t="array" ref="AO38">IFERROR(_xlfn.LET(_xlpm.txt,P38,_xlpm.inside,MID(_xlpm.txt,FIND("[",_xlpm.txt)+1,FIND("]",_xlpm.txt)-FIND("[",_xlpm.txt)-1),_xlpm.nums,VALUE(_xlfn.TEXTSPLIT(_xlpm.inside,",")),_xlpm.mapped,_xlfn.XLOOKUP(_xlpm.nums,$X$2:$X$100,$Y$2:$Y$100),SUBSTITUTE(_xlpm.txt,"["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"]")),P38)</f>
        <v>Acidic: leached in strong mineral acids) [19]</v>
      </c>
      <c r="AP38" t="str" cm="1">
        <f t="array" ref="AP38">IFERROR(_xlfn.LET(_xlpm.txt,Q38,_xlpm.inside,MID(_xlpm.txt,FIND("[",_xlpm.txt)+1,FIND("]",_xlpm.txt)-FIND("[",_xlpm.txt)-1),_xlpm.nums,VALUE(_xlfn.TEXTSPLIT(_xlpm.inside,",")),_xlpm.mapped,_xlfn.XLOOKUP(_xlpm.nums,$X$2:$X$100,$Y$2:$Y$100),SUBSTITUTE(_xlpm.txt,"["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"]")),Q38)</f>
        <v>High: precious metal residue handled as wet slime [19]</v>
      </c>
    </row>
    <row r="39" spans="1:42" ht="85" x14ac:dyDescent="0.2">
      <c r="A39" s="57" t="s">
        <v>313</v>
      </c>
      <c r="B39" s="21" t="s">
        <v>1419</v>
      </c>
      <c r="C39" s="21" t="s">
        <v>223</v>
      </c>
      <c r="D39" s="21" t="s">
        <v>1454</v>
      </c>
      <c r="E39" s="21" t="s">
        <v>1455</v>
      </c>
      <c r="F39" s="21" t="s">
        <v>1456</v>
      </c>
      <c r="G39" s="21" t="s">
        <v>1656</v>
      </c>
      <c r="H39" s="21" t="s">
        <v>1457</v>
      </c>
      <c r="I39" s="21" t="s">
        <v>237</v>
      </c>
      <c r="J39" s="21" t="s">
        <v>1458</v>
      </c>
      <c r="K39" s="21" t="s">
        <v>1459</v>
      </c>
      <c r="L39" s="21" t="s">
        <v>1460</v>
      </c>
      <c r="M39" s="21" t="s">
        <v>1461</v>
      </c>
      <c r="N39" s="21" t="s">
        <v>1462</v>
      </c>
      <c r="O39" s="21" t="s">
        <v>235</v>
      </c>
      <c r="P39" s="21" t="s">
        <v>1463</v>
      </c>
      <c r="Q39" s="21" t="s">
        <v>1464</v>
      </c>
      <c r="X39" s="36">
        <v>43</v>
      </c>
      <c r="Y39" s="63">
        <v>34</v>
      </c>
      <c r="AA39" t="str" cm="1">
        <f t="array" ref="AA39">IFERROR(_xlfn.LET(_xlpm.txt,B39,_xlpm.inside,MID(_xlpm.txt,FIND("[",_xlpm.txt)+1,FIND("]",_xlpm.txt)-FIND("[",_xlpm.txt)-1),_xlpm.nums,VALUE(_xlfn.TEXTSPLIT(_xlpm.inside,",")),_xlpm.mapped,_xlfn.XLOOKUP(_xlpm.nums,$X$2:$X$100,$Y$2:$Y$100),SUBSTITUTE(_xlpm.txt,"["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"]")),B39)</f>
        <v>Printed circuit boards (PCBs), electronic components [50,25]</v>
      </c>
      <c r="AB39" t="str" cm="1">
        <f t="array" ref="AB39">IFERROR(_xlfn.LET(_xlpm.txt,C39,_xlpm.inside,MID(_xlpm.txt,FIND("[",_xlpm.txt)+1,FIND("]",_xlpm.txt)-FIND("[",_xlpm.txt)-1),_xlpm.nums,VALUE(_xlfn.TEXTSPLIT(_xlpm.inside,",")),_xlpm.mapped,_xlfn.XLOOKUP(_xlpm.nums,$X$2:$X$100,$Y$2:$Y$100),SUBSTITUTE(_xlpm.txt,"["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"]")),C39)</f>
        <v>Smelter flue dust and baghouse dust</v>
      </c>
      <c r="AC39" t="str" cm="1">
        <f t="array" ref="AC39">IFERROR(_xlfn.LET(_xlpm.txt,D39,_xlpm.inside,MID(_xlpm.txt,FIND("[",_xlpm.txt)+1,FIND("]",_xlpm.txt)-FIND("[",_xlpm.txt)-1),_xlpm.nums,VALUE(_xlfn.TEXTSPLIT(_xlpm.inside,",")),_xlpm.mapped,_xlfn.XLOOKUP(_xlpm.nums,$X$2:$X$100,$Y$2:$Y$100),SUBSTITUTE(_xlpm.txt,"["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"]")),D39)</f>
        <v>Smelting – off–gas cleaning [36,54]</v>
      </c>
      <c r="AD39" t="str" cm="1">
        <f t="array" ref="AD39">IFERROR(_xlfn.LET(_xlpm.txt,E39,_xlpm.inside,MID(_xlpm.txt,FIND("[",_xlpm.txt)+1,FIND("]",_xlpm.txt)-FIND("[",_xlpm.txt)-1),_xlpm.nums,VALUE(_xlfn.TEXTSPLIT(_xlpm.inside,",")),_xlpm.mapped,_xlfn.XLOOKUP(_xlpm.nums,$X$2:$X$100,$Y$2:$Y$100),SUBSTITUTE(_xlpm.txt,"["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"]")),E39)</f>
        <v>Hydrometallurgical volatilization to recover Zn, Pb, Cd, As metals [36]
Stabilization to immobilize hazardous species [36]</v>
      </c>
      <c r="AE39" t="str" cm="1">
        <f t="array" ref="AE39">IFERROR(_xlfn.LET(_xlpm.txt,F39,_xlpm.inside,MID(_xlpm.txt,FIND("[",_xlpm.txt)+1,FIND("]",_xlpm.txt)-FIND("[",_xlpm.txt)-1),_xlpm.nums,VALUE(_xlfn.TEXTSPLIT(_xlpm.inside,",")),_xlpm.mapped,_xlfn.XLOOKUP(_xlpm.nums,$X$2:$X$100,$Y$2:$Y$100),SUBSTITUTE(_xlpm.txt,"["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"]")),F39)</f>
        <v>Volatile toxic metals, stabilization required [35]</v>
      </c>
      <c r="AF39" t="str" cm="1">
        <f t="array" ref="AF39">IFERROR(_xlfn.LET(_xlpm.txt,G39,_xlpm.inside,MID(_xlpm.txt,FIND("[",_xlpm.txt)+1,FIND("]",_xlpm.txt)-FIND("[",_xlpm.txt)-1),_xlpm.nums,VALUE(_xlfn.TEXTSPLIT(_xlpm.inside,",")),_xlpm.mapped,_xlfn.XLOOKUP(_xlpm.nums,$X$2:$X$100,$Y$2:$Y$100),SUBSTITUTE(_xlpm.txt,"["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"]")),G39)</f>
        <v>Recovery of valuable volatile metal generates significant revenue from off-gas treatment waste [6]</v>
      </c>
      <c r="AG39" t="str" cm="1">
        <f t="array" ref="AG39">IFERROR(_xlfn.LET(_xlpm.txt,H39,_xlpm.inside,MID(_xlpm.txt,FIND("[",_xlpm.txt)+1,FIND("]",_xlpm.txt)-FIND("[",_xlpm.txt)-1),_xlpm.nums,VALUE(_xlfn.TEXTSPLIT(_xlpm.inside,",")),_xlpm.mapped,_xlfn.XLOOKUP(_xlpm.nums,$X$2:$X$100,$Y$2:$Y$100),SUBSTITUTE(_xlpm.txt,"["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"]")),H39)</f>
        <v>ZnSO4, ZnO, sponge Cd, Pb residues [54]</v>
      </c>
      <c r="AH39" t="str" cm="1">
        <f t="array" ref="AH39">IFERROR(_xlfn.LET(_xlpm.txt,I39,_xlpm.inside,MID(_xlpm.txt,FIND("[",_xlpm.txt)+1,FIND("]",_xlpm.txt)-FIND("[",_xlpm.txt)-1),_xlpm.nums,VALUE(_xlfn.TEXTSPLIT(_xlpm.inside,",")),_xlpm.mapped,_xlfn.XLOOKUP(_xlpm.nums,$X$2:$X$100,$Y$2:$Y$100),SUBSTITUTE(_xlpm.txt,"["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"]")),I39)</f>
        <v>Not applicable</v>
      </c>
      <c r="AI39" t="str" cm="1">
        <f t="array" ref="AI39">IFERROR(_xlfn.LET(_xlpm.txt,J39,_xlpm.inside,MID(_xlpm.txt,FIND("[",_xlpm.txt)+1,FIND("]",_xlpm.txt)-FIND("[",_xlpm.txt)-1),_xlpm.nums,VALUE(_xlfn.TEXTSPLIT(_xlpm.inside,",")),_xlpm.mapped,_xlfn.XLOOKUP(_xlpm.nums,$X$2:$X$100,$Y$2:$Y$100),SUBSTITUTE(_xlpm.txt,"["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"]")),J39)</f>
        <v>PGMs [54]</v>
      </c>
      <c r="AJ39" t="str" cm="1">
        <f t="array" ref="AJ39">IFERROR(_xlfn.LET(_xlpm.txt,K39,_xlpm.inside,MID(_xlpm.txt,FIND("[",_xlpm.txt)+1,FIND("]",_xlpm.txt)-FIND("[",_xlpm.txt)-1),_xlpm.nums,VALUE(_xlfn.TEXTSPLIT(_xlpm.inside,",")),_xlpm.mapped,_xlfn.XLOOKUP(_xlpm.nums,$X$2:$X$100,$Y$2:$Y$100),SUBSTITUTE(_xlpm.txt,"["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"]")),K39)</f>
        <v>Zn (21.6%)
Fe (29.5%)
Si (5.6%)
Pb (1.3%)
CaO (9.3%) [6]</v>
      </c>
      <c r="AK39" t="str" cm="1">
        <f t="array" ref="AK39">IFERROR(_xlfn.LET(_xlpm.txt,L39,_xlpm.inside,MID(_xlpm.txt,FIND("[",_xlpm.txt)+1,FIND("]",_xlpm.txt)-FIND("[",_xlpm.txt)-1),_xlpm.nums,VALUE(_xlfn.TEXTSPLIT(_xlpm.inside,",")),_xlpm.mapped,_xlfn.XLOOKUP(_xlpm.nums,$X$2:$X$100,$Y$2:$Y$100),SUBSTITUTE(_xlpm.txt,"["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"]")),L39)</f>
        <v>Franklinite (ZnFe2​O4​)
Magnetite (Fe3​O4​)
Zincite (ZnO)
Lead oxides (PbO) [6]</v>
      </c>
      <c r="AL39" t="str" cm="1">
        <f t="array" ref="AL39">IFERROR(_xlfn.LET(_xlpm.txt,M39,_xlpm.inside,MID(_xlpm.txt,FIND("[",_xlpm.txt)+1,FIND("]",_xlpm.txt)-FIND("[",_xlpm.txt)-1),_xlpm.nums,VALUE(_xlfn.TEXTSPLIT(_xlpm.inside,",")),_xlpm.mapped,_xlfn.XLOOKUP(_xlpm.nums,$X$2:$X$100,$Y$2:$Y$100),SUBSTITUTE(_xlpm.txt,"["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"]")),M39)</f>
        <v>Zn, Fe, Si, Pb, Ca, O, Cd, Mn, Al, Cu, S, As, C [6]</v>
      </c>
      <c r="AM39" t="str" cm="1">
        <f t="array" ref="AM39">IFERROR(_xlfn.LET(_xlpm.txt,N39,_xlpm.inside,MID(_xlpm.txt,FIND("[",_xlpm.txt)+1,FIND("]",_xlpm.txt)-FIND("[",_xlpm.txt)-1),_xlpm.nums,VALUE(_xlfn.TEXTSPLIT(_xlpm.inside,",")),_xlpm.mapped,_xlfn.XLOOKUP(_xlpm.nums,$X$2:$X$100,$Y$2:$Y$100),SUBSTITUTE(_xlpm.txt,"["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"]")),N39)</f>
        <v>Solid state: ultra–fine powder or baghouse dust particles [54]</v>
      </c>
      <c r="AN39" t="str" cm="1">
        <f t="array" ref="AN39">IFERROR(_xlfn.LET(_xlpm.txt,O39,_xlpm.inside,MID(_xlpm.txt,FIND("[",_xlpm.txt)+1,FIND("]",_xlpm.txt)-FIND("[",_xlpm.txt)-1),_xlpm.nums,VALUE(_xlfn.TEXTSPLIT(_xlpm.inside,",")),_xlpm.mapped,_xlfn.XLOOKUP(_xlpm.nums,$X$2:$X$100,$Y$2:$Y$100),SUBSTITUTE(_xlpm.txt,"["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"]")),O39)</f>
        <v>Unavailable data</v>
      </c>
      <c r="AO39" t="str" cm="1">
        <f t="array" ref="AO39">IFERROR(_xlfn.LET(_xlpm.txt,P39,_xlpm.inside,MID(_xlpm.txt,FIND("[",_xlpm.txt)+1,FIND("]",_xlpm.txt)-FIND("[",_xlpm.txt)-1),_xlpm.nums,VALUE(_xlfn.TEXTSPLIT(_xlpm.inside,",")),_xlpm.mapped,_xlfn.XLOOKUP(_xlpm.nums,$X$2:$X$100,$Y$2:$Y$100),SUBSTITUTE(_xlpm.txt,"["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"]")),P39)</f>
        <v>12.0: aligned withsecondary Pb/Zn dusts [40]</v>
      </c>
      <c r="AP39" t="str" cm="1">
        <f t="array" ref="AP39">IFERROR(_xlfn.LET(_xlpm.txt,Q39,_xlpm.inside,MID(_xlpm.txt,FIND("[",_xlpm.txt)+1,FIND("]",_xlpm.txt)-FIND("[",_xlpm.txt)-1),_xlpm.nums,VALUE(_xlfn.TEXTSPLIT(_xlpm.inside,",")),_xlpm.mapped,_xlfn.XLOOKUP(_xlpm.nums,$X$2:$X$100,$Y$2:$Y$100),SUBSTITUTE(_xlpm.txt,"["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"]")),Q39)</f>
        <v>Low: dry ultra–fine powder collected in filter system [54]</v>
      </c>
    </row>
    <row r="40" spans="1:42" ht="102" x14ac:dyDescent="0.2">
      <c r="A40" s="55" t="s">
        <v>37</v>
      </c>
      <c r="B40" s="23" t="s">
        <v>1465</v>
      </c>
      <c r="C40" s="23" t="s">
        <v>38</v>
      </c>
      <c r="D40" s="23" t="s">
        <v>1466</v>
      </c>
      <c r="E40" s="23" t="s">
        <v>1467</v>
      </c>
      <c r="F40" s="23" t="s">
        <v>1468</v>
      </c>
      <c r="G40" s="23" t="s">
        <v>1622</v>
      </c>
      <c r="H40" s="23" t="s">
        <v>1469</v>
      </c>
      <c r="I40" s="23" t="s">
        <v>1470</v>
      </c>
      <c r="J40" s="23" t="s">
        <v>1471</v>
      </c>
      <c r="K40" s="23" t="s">
        <v>1472</v>
      </c>
      <c r="L40" s="23" t="s">
        <v>1473</v>
      </c>
      <c r="M40" s="23" t="s">
        <v>1474</v>
      </c>
      <c r="N40" s="23" t="s">
        <v>1475</v>
      </c>
      <c r="O40" s="23" t="s">
        <v>235</v>
      </c>
      <c r="P40" s="23" t="s">
        <v>1476</v>
      </c>
      <c r="Q40" s="23" t="s">
        <v>1477</v>
      </c>
      <c r="X40" s="36">
        <v>44</v>
      </c>
      <c r="Y40" s="63">
        <v>40</v>
      </c>
      <c r="AA40" t="str" cm="1">
        <f t="array" ref="AA40">IFERROR(_xlfn.LET(_xlpm.txt,B40,_xlpm.inside,MID(_xlpm.txt,FIND("[",_xlpm.txt)+1,FIND("]",_xlpm.txt)-FIND("[",_xlpm.txt)-1),_xlpm.nums,VALUE(_xlfn.TEXTSPLIT(_xlpm.inside,",")),_xlpm.mapped,_xlfn.XLOOKUP(_xlpm.nums,$X$2:$X$100,$Y$2:$Y$100),SUBSTITUTE(_xlpm.txt,"["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"]")),B40)</f>
        <v>Phosphate rocks (apatite) (Ca5(PO4)3(F,Cl,OH)) [54]</v>
      </c>
      <c r="AB40" t="str" cm="1">
        <f t="array" ref="AB40">IFERROR(_xlfn.LET(_xlpm.txt,C40,_xlpm.inside,MID(_xlpm.txt,FIND("[",_xlpm.txt)+1,FIND("]",_xlpm.txt)-FIND("[",_xlpm.txt)-1),_xlpm.nums,VALUE(_xlfn.TEXTSPLIT(_xlpm.inside,",")),_xlpm.mapped,_xlfn.XLOOKUP(_xlpm.nums,$X$2:$X$100,$Y$2:$Y$100),SUBSTITUTE(_xlpm.txt,"["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"]")),C40)</f>
        <v>Phosphogypsum</v>
      </c>
      <c r="AC40" t="str" cm="1">
        <f t="array" ref="AC40">IFERROR(_xlfn.LET(_xlpm.txt,D40,_xlpm.inside,MID(_xlpm.txt,FIND("[",_xlpm.txt)+1,FIND("]",_xlpm.txt)-FIND("[",_xlpm.txt)-1),_xlpm.nums,VALUE(_xlfn.TEXTSPLIT(_xlpm.inside,",")),_xlpm.mapped,_xlfn.XLOOKUP(_xlpm.nums,$X$2:$X$100,$Y$2:$Y$100),SUBSTITUTE(_xlpm.txt,"["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"]")),D40)</f>
        <v>Wet process phosphoric acid – gypsum precipitation [54,40]</v>
      </c>
      <c r="AD40" t="str" cm="1">
        <f t="array" ref="AD40">IFERROR(_xlfn.LET(_xlpm.txt,E40,_xlpm.inside,MID(_xlpm.txt,FIND("[",_xlpm.txt)+1,FIND("]",_xlpm.txt)-FIND("[",_xlpm.txt)-1),_xlpm.nums,VALUE(_xlfn.TEXTSPLIT(_xlpm.inside,",")),_xlpm.mapped,_xlfn.XLOOKUP(_xlpm.nums,$X$2:$X$100,$Y$2:$Y$100),SUBSTITUTE(_xlpm.txt,"["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"]")),E40)</f>
        <v>Washing and removing impurities to reduce radionuclides [36]
Stabilization for safe construction material use [49]
REE acid leaching from phosphate– linked minerals [49]</v>
      </c>
      <c r="AE40" t="str" cm="1">
        <f t="array" ref="AE40">IFERROR(_xlfn.LET(_xlpm.txt,F40,_xlpm.inside,MID(_xlpm.txt,FIND("[",_xlpm.txt)+1,FIND("]",_xlpm.txt)-FIND("[",_xlpm.txt)-1),_xlpm.nums,VALUE(_xlfn.TEXTSPLIT(_xlpm.inside,",")),_xlpm.mapped,_xlfn.XLOOKUP(_xlpm.nums,$X$2:$X$100,$Y$2:$Y$100),SUBSTITUTE(_xlpm.txt,"["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"]")),F40)</f>
        <v>Radionuclides (U or Th), impurities presence [40]</v>
      </c>
      <c r="AF40" t="str" cm="1">
        <f t="array" ref="AF40">IFERROR(_xlfn.LET(_xlpm.txt,G40,_xlpm.inside,MID(_xlpm.txt,FIND("[",_xlpm.txt)+1,FIND("]",_xlpm.txt)-FIND("[",_xlpm.txt)-1),_xlpm.nums,VALUE(_xlfn.TEXTSPLIT(_xlpm.inside,",")),_xlpm.mapped,_xlfn.XLOOKUP(_xlpm.nums,$X$2:$X$100,$Y$2:$Y$100),SUBSTITUTE(_xlpm.txt,"["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"]")),G40)</f>
        <v>Potential of REEs extraction for specific lanthanides exists but low bulk concentration challenge arises [54]</v>
      </c>
      <c r="AG40" t="str" cm="1">
        <f t="array" ref="AG40">IFERROR(_xlfn.LET(_xlpm.txt,H40,_xlpm.inside,MID(_xlpm.txt,FIND("[",_xlpm.txt)+1,FIND("]",_xlpm.txt)-FIND("[",_xlpm.txt)-1),_xlpm.nums,VALUE(_xlfn.TEXTSPLIT(_xlpm.inside,",")),_xlpm.mapped,_xlfn.XLOOKUP(_xlpm.nums,$X$2:$X$100,$Y$2:$Y$100),SUBSTITUTE(_xlpm.txt,"["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"]")),H40)</f>
        <v>Cement or wallboard, bricks, soil amendments, REE extraction [40,54]</v>
      </c>
      <c r="AH40" t="str" cm="1">
        <f t="array" ref="AH40">IFERROR(_xlfn.LET(_xlpm.txt,I40,_xlpm.inside,MID(_xlpm.txt,FIND("[",_xlpm.txt)+1,FIND("]",_xlpm.txt)-FIND("[",_xlpm.txt)-1),_xlpm.nums,VALUE(_xlfn.TEXTSPLIT(_xlpm.inside,",")),_xlpm.mapped,_xlfn.XLOOKUP(_xlpm.nums,$X$2:$X$100,$Y$2:$Y$100),SUBSTITUTE(_xlpm.txt,"["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"]")),I40)</f>
        <v>Sc, P [4]</v>
      </c>
      <c r="AI40" t="str" cm="1">
        <f t="array" ref="AI40">IFERROR(_xlfn.LET(_xlpm.txt,J40,_xlpm.inside,MID(_xlpm.txt,FIND("[",_xlpm.txt)+1,FIND("]",_xlpm.txt)-FIND("[",_xlpm.txt)-1),_xlpm.nums,VALUE(_xlfn.TEXTSPLIT(_xlpm.inside,",")),_xlpm.mapped,_xlfn.XLOOKUP(_xlpm.nums,$X$2:$X$100,$Y$2:$Y$100),SUBSTITUTE(_xlpm.txt,"["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"]")),J40)</f>
        <v>REEs for magnets (Nd, Dy, Pr, Ce etc.) [40]</v>
      </c>
      <c r="AJ40" t="str" cm="1">
        <f t="array" ref="AJ40">IFERROR(_xlfn.LET(_xlpm.txt,K40,_xlpm.inside,MID(_xlpm.txt,FIND("[",_xlpm.txt)+1,FIND("]",_xlpm.txt)-FIND("[",_xlpm.txt)-1),_xlpm.nums,VALUE(_xlfn.TEXTSPLIT(_xlpm.inside,",")),_xlpm.mapped,_xlfn.XLOOKUP(_xlpm.nums,$X$2:$X$100,$Y$2:$Y$100),SUBSTITUTE(_xlpm.txt,"["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"]")),K40)</f>
        <v>CaSO4.2H2O
P2O5 (residual)
REEs (Nd, Pr)
U (traces) [54]</v>
      </c>
      <c r="AK40" t="str" cm="1">
        <f t="array" ref="AK40">IFERROR(_xlfn.LET(_xlpm.txt,L40,_xlpm.inside,MID(_xlpm.txt,FIND("[",_xlpm.txt)+1,FIND("]",_xlpm.txt)-FIND("[",_xlpm.txt)-1),_xlpm.nums,VALUE(_xlfn.TEXTSPLIT(_xlpm.inside,",")),_xlpm.mapped,_xlfn.XLOOKUP(_xlpm.nums,$X$2:$X$100,$Y$2:$Y$100),SUBSTITUTE(_xlpm.txt,"["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"]")),L40)</f>
        <v>Gypsum (CaSO4​⋅2H2​O)
Brushite
REE–phosphates [4,54]</v>
      </c>
      <c r="AL40" t="str" cm="1">
        <f t="array" ref="AL40">IFERROR(_xlfn.LET(_xlpm.txt,M40,_xlpm.inside,MID(_xlpm.txt,FIND("[",_xlpm.txt)+1,FIND("]",_xlpm.txt)-FIND("[",_xlpm.txt)-1),_xlpm.nums,VALUE(_xlfn.TEXTSPLIT(_xlpm.inside,",")),_xlpm.mapped,_xlfn.XLOOKUP(_xlpm.nums,$X$2:$X$100,$Y$2:$Y$100),SUBSTITUTE(_xlpm.txt,"["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"]")),M40)</f>
        <v>Ca, S, O, P, Nd, Pr, U, La, Ce, Y [2,54]</v>
      </c>
      <c r="AM40" t="str" cm="1">
        <f t="array" ref="AM40">IFERROR(_xlfn.LET(_xlpm.txt,N40,_xlpm.inside,MID(_xlpm.txt,FIND("[",_xlpm.txt)+1,FIND("]",_xlpm.txt)-FIND("[",_xlpm.txt)-1),_xlpm.nums,VALUE(_xlfn.TEXTSPLIT(_xlpm.inside,",")),_xlpm.mapped,_xlfn.XLOOKUP(_xlpm.nums,$X$2:$X$100,$Y$2:$Y$100),SUBSTITUTE(_xlpm.txt,"["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"]")),N40)</f>
        <v>Solid state: fine crystalline particulate [40]</v>
      </c>
      <c r="AN40" t="str" cm="1">
        <f t="array" ref="AN40">IFERROR(_xlfn.LET(_xlpm.txt,O40,_xlpm.inside,MID(_xlpm.txt,FIND("[",_xlpm.txt)+1,FIND("]",_xlpm.txt)-FIND("[",_xlpm.txt)-1),_xlpm.nums,VALUE(_xlfn.TEXTSPLIT(_xlpm.inside,",")),_xlpm.mapped,_xlfn.XLOOKUP(_xlpm.nums,$X$2:$X$100,$Y$2:$Y$100),SUBSTITUTE(_xlpm.txt,"["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"]")),O40)</f>
        <v>Unavailable data</v>
      </c>
      <c r="AO40" t="str" cm="1">
        <f t="array" ref="AO40">IFERROR(_xlfn.LET(_xlpm.txt,P40,_xlpm.inside,MID(_xlpm.txt,FIND("[",_xlpm.txt)+1,FIND("]",_xlpm.txt)-FIND("[",_xlpm.txt)-1),_xlpm.nums,VALUE(_xlfn.TEXTSPLIT(_xlpm.inside,",")),_xlpm.mapped,_xlfn.XLOOKUP(_xlpm.nums,$X$2:$X$100,$Y$2:$Y$100),SUBSTITUTE(_xlpm.txt,"["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"]")),P40)</f>
        <v>Acidic: contains residual P2O5 or H3PO4, leached at pH 1 [54]</v>
      </c>
      <c r="AP40" t="str" cm="1">
        <f t="array" ref="AP40">IFERROR(_xlfn.LET(_xlpm.txt,Q40,_xlpm.inside,MID(_xlpm.txt,FIND("[",_xlpm.txt)+1,FIND("]",_xlpm.txt)-FIND("[",_xlpm.txt)-1),_xlpm.nums,VALUE(_xlfn.TEXTSPLIT(_xlpm.inside,",")),_xlpm.mapped,_xlfn.XLOOKUP(_xlpm.nums,$X$2:$X$100,$Y$2:$Y$100),SUBSTITUTE(_xlpm.txt,"["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"]")),Q40)</f>
        <v>Significant: handled as wet crystalline solid or stackable waste [40]</v>
      </c>
    </row>
    <row r="41" spans="1:42" ht="102" x14ac:dyDescent="0.2">
      <c r="A41" s="55" t="s">
        <v>37</v>
      </c>
      <c r="B41" s="25" t="s">
        <v>1465</v>
      </c>
      <c r="C41" s="25" t="s">
        <v>39</v>
      </c>
      <c r="D41" s="25" t="s">
        <v>1478</v>
      </c>
      <c r="E41" s="25" t="s">
        <v>1479</v>
      </c>
      <c r="F41" s="25" t="s">
        <v>1480</v>
      </c>
      <c r="G41" s="25" t="s">
        <v>1657</v>
      </c>
      <c r="H41" s="25" t="s">
        <v>1481</v>
      </c>
      <c r="I41" s="23" t="s">
        <v>1482</v>
      </c>
      <c r="J41" s="25" t="s">
        <v>237</v>
      </c>
      <c r="K41" s="25" t="s">
        <v>1483</v>
      </c>
      <c r="L41" s="25" t="s">
        <v>1484</v>
      </c>
      <c r="M41" s="25" t="s">
        <v>1485</v>
      </c>
      <c r="N41" s="25" t="s">
        <v>1486</v>
      </c>
      <c r="O41" s="25" t="s">
        <v>235</v>
      </c>
      <c r="P41" s="25" t="s">
        <v>1487</v>
      </c>
      <c r="Q41" s="25" t="s">
        <v>1488</v>
      </c>
      <c r="X41" s="36">
        <v>45</v>
      </c>
      <c r="Y41" s="63">
        <v>32</v>
      </c>
      <c r="AA41" t="str" cm="1">
        <f t="array" ref="AA41">IFERROR(_xlfn.LET(_xlpm.txt,B41,_xlpm.inside,MID(_xlpm.txt,FIND("[",_xlpm.txt)+1,FIND("]",_xlpm.txt)-FIND("[",_xlpm.txt)-1),_xlpm.nums,VALUE(_xlfn.TEXTSPLIT(_xlpm.inside,",")),_xlpm.mapped,_xlfn.XLOOKUP(_xlpm.nums,$X$2:$X$100,$Y$2:$Y$100),SUBSTITUTE(_xlpm.txt,"["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"]")),B41)</f>
        <v>Phosphate rocks (apatite) (Ca5(PO4)3(F,Cl,OH)) [54]</v>
      </c>
      <c r="AB41" t="str" cm="1">
        <f t="array" ref="AB41">IFERROR(_xlfn.LET(_xlpm.txt,C41,_xlpm.inside,MID(_xlpm.txt,FIND("[",_xlpm.txt)+1,FIND("]",_xlpm.txt)-FIND("[",_xlpm.txt)-1),_xlpm.nums,VALUE(_xlfn.TEXTSPLIT(_xlpm.inside,",")),_xlpm.mapped,_xlfn.XLOOKUP(_xlpm.nums,$X$2:$X$100,$Y$2:$Y$100),SUBSTITUTE(_xlpm.txt,"["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"]")),C41)</f>
        <v>Phosphoric acid sludges</v>
      </c>
      <c r="AC41" t="str" cm="1">
        <f t="array" ref="AC41">IFERROR(_xlfn.LET(_xlpm.txt,D41,_xlpm.inside,MID(_xlpm.txt,FIND("[",_xlpm.txt)+1,FIND("]",_xlpm.txt)-FIND("[",_xlpm.txt)-1),_xlpm.nums,VALUE(_xlfn.TEXTSPLIT(_xlpm.inside,",")),_xlpm.mapped,_xlfn.XLOOKUP(_xlpm.nums,$X$2:$X$100,$Y$2:$Y$100),SUBSTITUTE(_xlpm.txt,"["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"]")),D41)</f>
        <v>Phosphoric acid plant – filtration sludges [54,40]</v>
      </c>
      <c r="AD41" t="str" cm="1">
        <f t="array" ref="AD41">IFERROR(_xlfn.LET(_xlpm.txt,E41,_xlpm.inside,MID(_xlpm.txt,FIND("[",_xlpm.txt)+1,FIND("]",_xlpm.txt)-FIND("[",_xlpm.txt)-1),_xlpm.nums,VALUE(_xlfn.TEXTSPLIT(_xlpm.inside,",")),_xlpm.mapped,_xlfn.XLOOKUP(_xlpm.nums,$X$2:$X$100,$Y$2:$Y$100),SUBSTITUTE(_xlpm.txt,"["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"]")),E41)</f>
        <v>REE or U leaching to extract the critical minerals [54]
Neutralization to stabilize acidic residues [21]
Geopolymerization as alternative binder feed [54]</v>
      </c>
      <c r="AE41" t="str" cm="1">
        <f t="array" ref="AE41">IFERROR(_xlfn.LET(_xlpm.txt,F41,_xlpm.inside,MID(_xlpm.txt,FIND("[",_xlpm.txt)+1,FIND("]",_xlpm.txt)-FIND("[",_xlpm.txt)-1),_xlpm.nums,VALUE(_xlfn.TEXTSPLIT(_xlpm.inside,",")),_xlpm.mapped,_xlfn.XLOOKUP(_xlpm.nums,$X$2:$X$100,$Y$2:$Y$100),SUBSTITUTE(_xlpm.txt,"["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"]")),F41)</f>
        <v>Metals, organics, acidic in nature [40]</v>
      </c>
      <c r="AF41" t="str" cm="1">
        <f t="array" ref="AF41">IFERROR(_xlfn.LET(_xlpm.txt,G41,_xlpm.inside,MID(_xlpm.txt,FIND("[",_xlpm.txt)+1,FIND("]",_xlpm.txt)-FIND("[",_xlpm.txt)-1),_xlpm.nums,VALUE(_xlfn.TEXTSPLIT(_xlpm.inside,",")),_xlpm.mapped,_xlfn.XLOOKUP(_xlpm.nums,$X$2:$X$100,$Y$2:$Y$100),SUBSTITUTE(_xlpm.txt,"["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"]")),G41)</f>
        <v>Recover of REEs leads to strategic secondary resources along with reduction of waste stream (landfilled) acid sludges [54]</v>
      </c>
      <c r="AG41" t="str" cm="1">
        <f t="array" ref="AG41">IFERROR(_xlfn.LET(_xlpm.txt,H41,_xlpm.inside,MID(_xlpm.txt,FIND("[",_xlpm.txt)+1,FIND("]",_xlpm.txt)-FIND("[",_xlpm.txt)-1),_xlpm.nums,VALUE(_xlfn.TEXTSPLIT(_xlpm.inside,",")),_xlpm.mapped,_xlfn.XLOOKUP(_xlpm.nums,$X$2:$X$100,$Y$2:$Y$100),SUBSTITUTE(_xlpm.txt,"["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"]")),H41)</f>
        <v>Geopolymers, cement, adsorbents, U or REE recovery [40]</v>
      </c>
      <c r="AH41" t="str" cm="1">
        <f t="array" ref="AH41">IFERROR(_xlfn.LET(_xlpm.txt,I41,_xlpm.inside,MID(_xlpm.txt,FIND("[",_xlpm.txt)+1,FIND("]",_xlpm.txt)-FIND("[",_xlpm.txt)-1),_xlpm.nums,VALUE(_xlfn.TEXTSPLIT(_xlpm.inside,",")),_xlpm.mapped,_xlfn.XLOOKUP(_xlpm.nums,$X$2:$X$100,$Y$2:$Y$100),SUBSTITUTE(_xlpm.txt,"["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"]")),I41)</f>
        <v>P [54]</v>
      </c>
      <c r="AI41" t="str" cm="1">
        <f t="array" ref="AI41">IFERROR(_xlfn.LET(_xlpm.txt,J41,_xlpm.inside,MID(_xlpm.txt,FIND("[",_xlpm.txt)+1,FIND("]",_xlpm.txt)-FIND("[",_xlpm.txt)-1),_xlpm.nums,VALUE(_xlfn.TEXTSPLIT(_xlpm.inside,",")),_xlpm.mapped,_xlfn.XLOOKUP(_xlpm.nums,$X$2:$X$100,$Y$2:$Y$100),SUBSTITUTE(_xlpm.txt,"["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"]")),J41)</f>
        <v>Not applicable</v>
      </c>
      <c r="AJ41" t="str" cm="1">
        <f t="array" ref="AJ41">IFERROR(_xlfn.LET(_xlpm.txt,K41,_xlpm.inside,MID(_xlpm.txt,FIND("[",_xlpm.txt)+1,FIND("]",_xlpm.txt)-FIND("[",_xlpm.txt)-1),_xlpm.nums,VALUE(_xlfn.TEXTSPLIT(_xlpm.inside,",")),_xlpm.mapped,_xlfn.XLOOKUP(_xlpm.nums,$X$2:$X$100,$Y$2:$Y$100),SUBSTITUTE(_xlpm.txt,"["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"]")),K41)</f>
        <v>P2O5
Al
Fe
Mg
Si [52]</v>
      </c>
      <c r="AK41" t="str" cm="1">
        <f t="array" ref="AK41">IFERROR(_xlfn.LET(_xlpm.txt,L41,_xlpm.inside,MID(_xlpm.txt,FIND("[",_xlpm.txt)+1,FIND("]",_xlpm.txt)-FIND("[",_xlpm.txt)-1),_xlpm.nums,VALUE(_xlfn.TEXTSPLIT(_xlpm.inside,",")),_xlpm.mapped,_xlfn.XLOOKUP(_xlpm.nums,$X$2:$X$100,$Y$2:$Y$100),SUBSTITUTE(_xlpm.txt,"["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"]")),L41)</f>
        <v>Aluminum phosphates
Iron phosphates
Quartz (SiO2​) [45]</v>
      </c>
      <c r="AL41" t="str" cm="1">
        <f t="array" ref="AL41">IFERROR(_xlfn.LET(_xlpm.txt,M41,_xlpm.inside,MID(_xlpm.txt,FIND("[",_xlpm.txt)+1,FIND("]",_xlpm.txt)-FIND("[",_xlpm.txt)-1),_xlpm.nums,VALUE(_xlfn.TEXTSPLIT(_xlpm.inside,",")),_xlpm.mapped,_xlfn.XLOOKUP(_xlpm.nums,$X$2:$X$100,$Y$2:$Y$100),SUBSTITUTE(_xlpm.txt,"["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"]")),M41)</f>
        <v>P, Al, Fe, Mg, Si, O, REEs [54]</v>
      </c>
      <c r="AM41" t="str" cm="1">
        <f t="array" ref="AM41">IFERROR(_xlfn.LET(_xlpm.txt,N41,_xlpm.inside,MID(_xlpm.txt,FIND("[",_xlpm.txt)+1,FIND("]",_xlpm.txt)-FIND("[",_xlpm.txt)-1),_xlpm.nums,VALUE(_xlfn.TEXTSPLIT(_xlpm.inside,",")),_xlpm.mapped,_xlfn.XLOOKUP(_xlpm.nums,$X$2:$X$100,$Y$2:$Y$100),SUBSTITUTE(_xlpm.txt,"["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"]")),N41)</f>
        <v>Wet solid or sludge state: settled phosphoric acid process residue [40]</v>
      </c>
      <c r="AN41" t="str" cm="1">
        <f t="array" ref="AN41">IFERROR(_xlfn.LET(_xlpm.txt,O41,_xlpm.inside,MID(_xlpm.txt,FIND("[",_xlpm.txt)+1,FIND("]",_xlpm.txt)-FIND("[",_xlpm.txt)-1),_xlpm.nums,VALUE(_xlfn.TEXTSPLIT(_xlpm.inside,",")),_xlpm.mapped,_xlfn.XLOOKUP(_xlpm.nums,$X$2:$X$100,$Y$2:$Y$100),SUBSTITUTE(_xlpm.txt,"["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"]")),O41)</f>
        <v>Unavailable data</v>
      </c>
      <c r="AO41" t="str" cm="1">
        <f t="array" ref="AO41">IFERROR(_xlfn.LET(_xlpm.txt,P41,_xlpm.inside,MID(_xlpm.txt,FIND("[",_xlpm.txt)+1,FIND("]",_xlpm.txt)-FIND("[",_xlpm.txt)-1),_xlpm.nums,VALUE(_xlfn.TEXTSPLIT(_xlpm.inside,",")),_xlpm.mapped,_xlfn.XLOOKUP(_xlpm.nums,$X$2:$X$100,$Y$2:$Y$100),SUBSTITUTE(_xlpm.txt,"["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"]")),P41)</f>
        <v>Highly acidic: byproduct of direct H3PO4 process) [54]</v>
      </c>
      <c r="AP41" t="str" cm="1">
        <f t="array" ref="AP41">IFERROR(_xlfn.LET(_xlpm.txt,Q41,_xlpm.inside,MID(_xlpm.txt,FIND("[",_xlpm.txt)+1,FIND("]",_xlpm.txt)-FIND("[",_xlpm.txt)-1),_xlpm.nums,VALUE(_xlfn.TEXTSPLIT(_xlpm.inside,",")),_xlpm.mapped,_xlfn.XLOOKUP(_xlpm.nums,$X$2:$X$100,$Y$2:$Y$100),SUBSTITUTE(_xlpm.txt,"["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"]")),Q41)</f>
        <v>High: processing residue typically handled as wet sludge [40]</v>
      </c>
    </row>
    <row r="42" spans="1:42" ht="102" x14ac:dyDescent="0.2">
      <c r="A42" s="55" t="s">
        <v>40</v>
      </c>
      <c r="B42" s="23" t="s">
        <v>1489</v>
      </c>
      <c r="C42" s="23" t="s">
        <v>316</v>
      </c>
      <c r="D42" s="23" t="s">
        <v>1490</v>
      </c>
      <c r="E42" s="23" t="s">
        <v>1491</v>
      </c>
      <c r="F42" s="23" t="s">
        <v>1492</v>
      </c>
      <c r="G42" s="23" t="s">
        <v>1621</v>
      </c>
      <c r="H42" s="23" t="s">
        <v>1493</v>
      </c>
      <c r="I42" s="23" t="s">
        <v>1494</v>
      </c>
      <c r="J42" s="23" t="s">
        <v>1495</v>
      </c>
      <c r="K42" s="23" t="s">
        <v>1496</v>
      </c>
      <c r="L42" s="23" t="s">
        <v>549</v>
      </c>
      <c r="M42" s="23" t="s">
        <v>1497</v>
      </c>
      <c r="N42" s="23" t="s">
        <v>1498</v>
      </c>
      <c r="O42" s="23" t="s">
        <v>235</v>
      </c>
      <c r="P42" s="23" t="s">
        <v>1499</v>
      </c>
      <c r="Q42" s="23" t="s">
        <v>1500</v>
      </c>
      <c r="X42" s="36">
        <v>46</v>
      </c>
      <c r="Y42" s="63">
        <v>43</v>
      </c>
      <c r="AA42" t="str" cm="1">
        <f t="array" ref="AA42">IFERROR(_xlfn.LET(_xlpm.txt,B42,_xlpm.inside,MID(_xlpm.txt,FIND("[",_xlpm.txt)+1,FIND("]",_xlpm.txt)-FIND("[",_xlpm.txt)-1),_xlpm.nums,VALUE(_xlfn.TEXTSPLIT(_xlpm.inside,",")),_xlpm.mapped,_xlfn.XLOOKUP(_xlpm.nums,$X$2:$X$100,$Y$2:$Y$100),SUBSTITUTE(_xlpm.txt,"["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"]")),B42)</f>
        <v>Carbonatite ores, ion–adsorption clays, REE (monazite, xenotime) [54,3]</v>
      </c>
      <c r="AB42" t="str" cm="1">
        <f t="array" ref="AB42">IFERROR(_xlfn.LET(_xlpm.txt,C42,_xlpm.inside,MID(_xlpm.txt,FIND("[",_xlpm.txt)+1,FIND("]",_xlpm.txt)-FIND("[",_xlpm.txt)-1),_xlpm.nums,VALUE(_xlfn.TEXTSPLIT(_xlpm.inside,",")),_xlpm.mapped,_xlfn.XLOOKUP(_xlpm.nums,$X$2:$X$100,$Y$2:$Y$100),SUBSTITUTE(_xlpm.txt,"["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"]")),C42)</f>
        <v>REE – bearing tailings</v>
      </c>
      <c r="AC42" t="str" cm="1">
        <f t="array" ref="AC42">IFERROR(_xlfn.LET(_xlpm.txt,D42,_xlpm.inside,MID(_xlpm.txt,FIND("[",_xlpm.txt)+1,FIND("]",_xlpm.txt)-FIND("[",_xlpm.txt)-1),_xlpm.nums,VALUE(_xlfn.TEXTSPLIT(_xlpm.inside,",")),_xlpm.mapped,_xlfn.XLOOKUP(_xlpm.nums,$X$2:$X$100,$Y$2:$Y$100),SUBSTITUTE(_xlpm.txt,"["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"]")),D42)</f>
        <v>REE beneficiation residues [48,16]</v>
      </c>
      <c r="AD42" t="str" cm="1">
        <f t="array" ref="AD42">IFERROR(_xlfn.LET(_xlpm.txt,E42,_xlpm.inside,MID(_xlpm.txt,FIND("[",_xlpm.txt)+1,FIND("]",_xlpm.txt)-FIND("[",_xlpm.txt)-1),_xlpm.nums,VALUE(_xlfn.TEXTSPLIT(_xlpm.inside,",")),_xlpm.mapped,_xlfn.XLOOKUP(_xlpm.nums,$X$2:$X$100,$Y$2:$Y$100),SUBSTITUTE(_xlpm.txt,"["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"]")),E42)</f>
        <v>Acid or alkali roasting to enhance REE solubility [54]
REE leaching from activated minerals [7]
Minerals beneficiation to isolate heavy or light REEs [54]</v>
      </c>
      <c r="AE42" t="str" cm="1">
        <f t="array" ref="AE42">IFERROR(_xlfn.LET(_xlpm.txt,F42,_xlpm.inside,MID(_xlpm.txt,FIND("[",_xlpm.txt)+1,FIND("]",_xlpm.txt)-FIND("[",_xlpm.txt)-1),_xlpm.nums,VALUE(_xlfn.TEXTSPLIT(_xlpm.inside,",")),_xlpm.mapped,_xlfn.XLOOKUP(_xlpm.nums,$X$2:$X$100,$Y$2:$Y$100),SUBSTITUTE(_xlpm.txt,"["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"]")),F42)</f>
        <v>Radioactivity, mineralogical heterogeneity [3]</v>
      </c>
      <c r="AF42" t="str" cm="1">
        <f t="array" ref="AF42">IFERROR(_xlfn.LET(_xlpm.txt,G42,_xlpm.inside,MID(_xlpm.txt,FIND("[",_xlpm.txt)+1,FIND("]",_xlpm.txt)-FIND("[",_xlpm.txt)-1),_xlpm.nums,VALUE(_xlfn.TEXTSPLIT(_xlpm.inside,",")),_xlpm.mapped,_xlfn.XLOOKUP(_xlpm.nums,$X$2:$X$100,$Y$2:$Y$100),SUBSTITUTE(_xlpm.txt,"["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"]")),G42)</f>
        <v>High-value of REEs provides a critical source to the EU supply chain for magnets and renewable energy systems [54]</v>
      </c>
      <c r="AG42" t="str" cm="1">
        <f t="array" ref="AG42">IFERROR(_xlfn.LET(_xlpm.txt,H42,_xlpm.inside,MID(_xlpm.txt,FIND("[",_xlpm.txt)+1,FIND("]",_xlpm.txt)-FIND("[",_xlpm.txt)-1),_xlpm.nums,VALUE(_xlfn.TEXTSPLIT(_xlpm.inside,",")),_xlpm.mapped,_xlfn.XLOOKUP(_xlpm.nums,$X$2:$X$100,$Y$2:$Y$100),SUBSTITUTE(_xlpm.txt,"["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"]")),H42)</f>
        <v>REE concentrates, geopolymer ceramics, Ni or Fe products [14,47]</v>
      </c>
      <c r="AH42" t="str" cm="1">
        <f t="array" ref="AH42">IFERROR(_xlfn.LET(_xlpm.txt,I42,_xlpm.inside,MID(_xlpm.txt,FIND("[",_xlpm.txt)+1,FIND("]",_xlpm.txt)-FIND("[",_xlpm.txt)-1),_xlpm.nums,VALUE(_xlfn.TEXTSPLIT(_xlpm.inside,",")),_xlpm.mapped,_xlfn.XLOOKUP(_xlpm.nums,$X$2:$X$100,$Y$2:$Y$100),SUBSTITUTE(_xlpm.txt,"["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"]")),I42)</f>
        <v>Sc, REEs – LREEs and HREEs (La, Y) [54]</v>
      </c>
      <c r="AI42" t="str" cm="1">
        <f t="array" ref="AI42">IFERROR(_xlfn.LET(_xlpm.txt,J42,_xlpm.inside,MID(_xlpm.txt,FIND("[",_xlpm.txt)+1,FIND("]",_xlpm.txt)-FIND("[",_xlpm.txt)-1),_xlpm.nums,VALUE(_xlfn.TEXTSPLIT(_xlpm.inside,",")),_xlpm.mapped,_xlfn.XLOOKUP(_xlpm.nums,$X$2:$X$100,$Y$2:$Y$100),SUBSTITUTE(_xlpm.txt,"["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"]")),J42)</f>
        <v>REEs for magnets (Nd, Pr, Ce) [3]</v>
      </c>
      <c r="AJ42" t="str" cm="1">
        <f t="array" ref="AJ42">IFERROR(_xlfn.LET(_xlpm.txt,K42,_xlpm.inside,MID(_xlpm.txt,FIND("[",_xlpm.txt)+1,FIND("]",_xlpm.txt)-FIND("[",_xlpm.txt)-1),_xlpm.nums,VALUE(_xlfn.TEXTSPLIT(_xlpm.inside,",")),_xlpm.mapped,_xlfn.XLOOKUP(_xlpm.nums,$X$2:$X$100,$Y$2:$Y$100),SUBSTITUTE(_xlpm.txt,"["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"]")),K42)</f>
        <v>Nd (0.3%)
Pr (0.13%)
Y, La, Ce [54,11]</v>
      </c>
      <c r="AK42" t="str" cm="1">
        <f t="array" ref="AK42">IFERROR(_xlfn.LET(_xlpm.txt,L42,_xlpm.inside,MID(_xlpm.txt,FIND("[",_xlpm.txt)+1,FIND("]",_xlpm.txt)-FIND("[",_xlpm.txt)-1),_xlpm.nums,VALUE(_xlfn.TEXTSPLIT(_xlpm.inside,",")),_xlpm.mapped,_xlfn.XLOOKUP(_xlpm.nums,$X$2:$X$100,$Y$2:$Y$100),SUBSTITUTE(_xlpm.txt,"["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"]")),L42)</f>
        <v>Monazite ([Ce,La,Nd,Th]PO4​)
Xenotime (YPO4​)
Rhabdophane [7]</v>
      </c>
      <c r="AL42" t="str" cm="1">
        <f t="array" ref="AL42">IFERROR(_xlfn.LET(_xlpm.txt,M42,_xlpm.inside,MID(_xlpm.txt,FIND("[",_xlpm.txt)+1,FIND("]",_xlpm.txt)-FIND("[",_xlpm.txt)-1),_xlpm.nums,VALUE(_xlfn.TEXTSPLIT(_xlpm.inside,",")),_xlpm.mapped,_xlfn.XLOOKUP(_xlpm.nums,$X$2:$X$100,$Y$2:$Y$100),SUBSTITUTE(_xlpm.txt,"["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"]")),M42)</f>
        <v>Nd, Pr, Y, La, Ce, P, O, Th, heavy REEs [3]</v>
      </c>
      <c r="AM42" t="str" cm="1">
        <f t="array" ref="AM42">IFERROR(_xlfn.LET(_xlpm.txt,N42,_xlpm.inside,MID(_xlpm.txt,FIND("[",_xlpm.txt)+1,FIND("]",_xlpm.txt)-FIND("[",_xlpm.txt)-1),_xlpm.nums,VALUE(_xlfn.TEXTSPLIT(_xlpm.inside,",")),_xlpm.mapped,_xlfn.XLOOKUP(_xlpm.nums,$X$2:$X$100,$Y$2:$Y$100),SUBSTITUTE(_xlpm.txt,"["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"]")),N42)</f>
        <v>Solid state: fine particulate or mineralized ore fragments [3]</v>
      </c>
      <c r="AN42" t="str" cm="1">
        <f t="array" ref="AN42">IFERROR(_xlfn.LET(_xlpm.txt,O42,_xlpm.inside,MID(_xlpm.txt,FIND("[",_xlpm.txt)+1,FIND("]",_xlpm.txt)-FIND("[",_xlpm.txt)-1),_xlpm.nums,VALUE(_xlfn.TEXTSPLIT(_xlpm.inside,",")),_xlpm.mapped,_xlfn.XLOOKUP(_xlpm.nums,$X$2:$X$100,$Y$2:$Y$100),SUBSTITUTE(_xlpm.txt,"["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"]")),O42)</f>
        <v>Unavailable data</v>
      </c>
      <c r="AO42" t="str" cm="1">
        <f t="array" ref="AO42">IFERROR(_xlfn.LET(_xlpm.txt,P42,_xlpm.inside,MID(_xlpm.txt,FIND("[",_xlpm.txt)+1,FIND("]",_xlpm.txt)-FIND("[",_xlpm.txt)-1),_xlpm.nums,VALUE(_xlfn.TEXTSPLIT(_xlpm.inside,",")),_xlpm.mapped,_xlfn.XLOOKUP(_xlpm.nums,$X$2:$X$100,$Y$2:$Y$100),SUBSTITUTE(_xlpm.txt,"["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"]")),P42)</f>
        <v>Acidic: potentially as often found in acidic mine waters [3]</v>
      </c>
      <c r="AP42" t="str" cm="1">
        <f t="array" ref="AP42">IFERROR(_xlfn.LET(_xlpm.txt,Q42,_xlpm.inside,MID(_xlpm.txt,FIND("[",_xlpm.txt)+1,FIND("]",_xlpm.txt)-FIND("[",_xlpm.txt)-1),_xlpm.nums,VALUE(_xlfn.TEXTSPLIT(_xlpm.inside,",")),_xlpm.mapped,_xlfn.XLOOKUP(_xlpm.nums,$X$2:$X$100,$Y$2:$Y$100),SUBSTITUTE(_xlpm.txt,"["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"]")),Q42)</f>
        <v>40.0–60.0%: typically mining slurry moisture range [3]</v>
      </c>
    </row>
    <row r="43" spans="1:42" ht="68" x14ac:dyDescent="0.2">
      <c r="A43" s="55" t="s">
        <v>40</v>
      </c>
      <c r="B43" s="25" t="s">
        <v>1489</v>
      </c>
      <c r="C43" s="25" t="s">
        <v>929</v>
      </c>
      <c r="D43" s="25" t="s">
        <v>1501</v>
      </c>
      <c r="E43" s="25" t="s">
        <v>1502</v>
      </c>
      <c r="F43" s="25" t="s">
        <v>1503</v>
      </c>
      <c r="G43" s="25" t="s">
        <v>1620</v>
      </c>
      <c r="H43" s="25" t="s">
        <v>1504</v>
      </c>
      <c r="I43" s="25" t="s">
        <v>237</v>
      </c>
      <c r="J43" s="25" t="s">
        <v>1505</v>
      </c>
      <c r="K43" s="25" t="s">
        <v>1506</v>
      </c>
      <c r="L43" s="25" t="s">
        <v>1507</v>
      </c>
      <c r="M43" s="25" t="s">
        <v>1508</v>
      </c>
      <c r="N43" s="24" t="s">
        <v>1509</v>
      </c>
      <c r="O43" s="25" t="s">
        <v>235</v>
      </c>
      <c r="P43" s="25" t="s">
        <v>1510</v>
      </c>
      <c r="Q43" s="25" t="s">
        <v>1511</v>
      </c>
      <c r="X43" s="36">
        <v>47</v>
      </c>
      <c r="Y43" s="63">
        <v>3</v>
      </c>
      <c r="AA43" t="str" cm="1">
        <f t="array" ref="AA43">IFERROR(_xlfn.LET(_xlpm.txt,B43,_xlpm.inside,MID(_xlpm.txt,FIND("[",_xlpm.txt)+1,FIND("]",_xlpm.txt)-FIND("[",_xlpm.txt)-1),_xlpm.nums,VALUE(_xlfn.TEXTSPLIT(_xlpm.inside,",")),_xlpm.mapped,_xlfn.XLOOKUP(_xlpm.nums,$X$2:$X$100,$Y$2:$Y$100),SUBSTITUTE(_xlpm.txt,"["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"]")),B43)</f>
        <v>Carbonatite ores, ion–adsorption clays, REE (monazite, xenotime) [54,3]</v>
      </c>
      <c r="AB43" t="str" cm="1">
        <f t="array" ref="AB43">IFERROR(_xlfn.LET(_xlpm.txt,C43,_xlpm.inside,MID(_xlpm.txt,FIND("[",_xlpm.txt)+1,FIND("]",_xlpm.txt)-FIND("[",_xlpm.txt)-1),_xlpm.nums,VALUE(_xlfn.TEXTSPLIT(_xlpm.inside,",")),_xlpm.mapped,_xlfn.XLOOKUP(_xlpm.nums,$X$2:$X$100,$Y$2:$Y$100),SUBSTITUTE(_xlpm.txt,"["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"]")),C43)</f>
        <v>REE neutralization sludges</v>
      </c>
      <c r="AC43" t="str" cm="1">
        <f t="array" ref="AC43">IFERROR(_xlfn.LET(_xlpm.txt,D43,_xlpm.inside,MID(_xlpm.txt,FIND("[",_xlpm.txt)+1,FIND("]",_xlpm.txt)-FIND("[",_xlpm.txt)-1),_xlpm.nums,VALUE(_xlfn.TEXTSPLIT(_xlpm.inside,",")),_xlpm.mapped,_xlfn.XLOOKUP(_xlpm.nums,$X$2:$X$100,$Y$2:$Y$100),SUBSTITUTE(_xlpm.txt,"["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"]")),D43)</f>
        <v>REE or acid process – neutralization [54]</v>
      </c>
      <c r="AD43" t="str" cm="1">
        <f t="array" ref="AD43">IFERROR(_xlfn.LET(_xlpm.txt,E43,_xlpm.inside,MID(_xlpm.txt,FIND("[",_xlpm.txt)+1,FIND("]",_xlpm.txt)-FIND("[",_xlpm.txt)-1),_xlpm.nums,VALUE(_xlfn.TEXTSPLIT(_xlpm.inside,",")),_xlpm.mapped,_xlfn.XLOOKUP(_xlpm.nums,$X$2:$X$100,$Y$2:$Y$100),SUBSTITUTE(_xlpm.txt,"["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"]")),E43)</f>
        <v>Acid leaching to dissolve metals like Ni, Cr, Fe selectively [54]
Precipitation to form pigment–grade magnetite [54]</v>
      </c>
      <c r="AE43" t="str" cm="1">
        <f t="array" ref="AE43">IFERROR(_xlfn.LET(_xlpm.txt,F43,_xlpm.inside,MID(_xlpm.txt,FIND("[",_xlpm.txt)+1,FIND("]",_xlpm.txt)-FIND("[",_xlpm.txt)-1),_xlpm.nums,VALUE(_xlfn.TEXTSPLIT(_xlpm.inside,",")),_xlpm.mapped,_xlfn.XLOOKUP(_xlpm.nums,$X$2:$X$100,$Y$2:$Y$100),SUBSTITUTE(_xlpm.txt,"["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"]")),F43)</f>
        <v>High moisture content, variable REE present [54]</v>
      </c>
      <c r="AF43" t="str" cm="1">
        <f t="array" ref="AF43">IFERROR(_xlfn.LET(_xlpm.txt,G43,_xlpm.inside,MID(_xlpm.txt,FIND("[",_xlpm.txt)+1,FIND("]",_xlpm.txt)-FIND("[",_xlpm.txt)-1),_xlpm.nums,VALUE(_xlfn.TEXTSPLIT(_xlpm.inside,",")),_xlpm.mapped,_xlfn.XLOOKUP(_xlpm.nums,$X$2:$X$100,$Y$2:$Y$100),SUBSTITUTE(_xlpm.txt,"["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"]")),G43)</f>
        <v>Potential for REEs extraction is high but the trace elements concentration to a grade suitable for market is considered to be feasible [54]</v>
      </c>
      <c r="AG43" t="str" cm="1">
        <f t="array" ref="AG43">IFERROR(_xlfn.LET(_xlpm.txt,H43,_xlpm.inside,MID(_xlpm.txt,FIND("[",_xlpm.txt)+1,FIND("]",_xlpm.txt)-FIND("[",_xlpm.txt)-1),_xlpm.nums,VALUE(_xlfn.TEXTSPLIT(_xlpm.inside,",")),_xlpm.mapped,_xlfn.XLOOKUP(_xlpm.nums,$X$2:$X$100,$Y$2:$Y$100),SUBSTITUTE(_xlpm.txt,"["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"]")),H43)</f>
        <v>Ni or Cr pigments, magnetite [54]</v>
      </c>
      <c r="AH43" t="str" cm="1">
        <f t="array" ref="AH43">IFERROR(_xlfn.LET(_xlpm.txt,I43,_xlpm.inside,MID(_xlpm.txt,FIND("[",_xlpm.txt)+1,FIND("]",_xlpm.txt)-FIND("[",_xlpm.txt)-1),_xlpm.nums,VALUE(_xlfn.TEXTSPLIT(_xlpm.inside,",")),_xlpm.mapped,_xlfn.XLOOKUP(_xlpm.nums,$X$2:$X$100,$Y$2:$Y$100),SUBSTITUTE(_xlpm.txt,"["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"]")),I43)</f>
        <v>Not applicable</v>
      </c>
      <c r="AI43" t="str" cm="1">
        <f t="array" ref="AI43">IFERROR(_xlfn.LET(_xlpm.txt,J43,_xlpm.inside,MID(_xlpm.txt,FIND("[",_xlpm.txt)+1,FIND("]",_xlpm.txt)-FIND("[",_xlpm.txt)-1),_xlpm.nums,VALUE(_xlfn.TEXTSPLIT(_xlpm.inside,",")),_xlpm.mapped,_xlfn.XLOOKUP(_xlpm.nums,$X$2:$X$100,$Y$2:$Y$100),SUBSTITUTE(_xlpm.txt,"["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"]")),J43)</f>
        <v>Co, Ni (battery grade) [54]</v>
      </c>
      <c r="AJ43" t="str" cm="1">
        <f t="array" ref="AJ43">IFERROR(_xlfn.LET(_xlpm.txt,K43,_xlpm.inside,MID(_xlpm.txt,FIND("[",_xlpm.txt)+1,FIND("]",_xlpm.txt)-FIND("[",_xlpm.txt)-1),_xlpm.nums,VALUE(_xlfn.TEXTSPLIT(_xlpm.inside,",")),_xlpm.mapped,_xlfn.XLOOKUP(_xlpm.nums,$X$2:$X$100,$Y$2:$Y$100),SUBSTITUTE(_xlpm.txt,"["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"]")),K43)</f>
        <v>Concentrated REE in hyroxides form [54]</v>
      </c>
      <c r="AK43" t="str" cm="1">
        <f t="array" ref="AK43">IFERROR(_xlfn.LET(_xlpm.txt,L43,_xlpm.inside,MID(_xlpm.txt,FIND("[",_xlpm.txt)+1,FIND("]",_xlpm.txt)-FIND("[",_xlpm.txt)-1),_xlpm.nums,VALUE(_xlfn.TEXTSPLIT(_xlpm.inside,",")),_xlpm.mapped,_xlfn.XLOOKUP(_xlpm.nums,$X$2:$X$100,$Y$2:$Y$100),SUBSTITUTE(_xlpm.txt,"["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"]")),L43)</f>
        <v>Light REE hydroxides and carbonates
Perovskite (CaTiO3​) [3]</v>
      </c>
      <c r="AL43" t="str" cm="1">
        <f t="array" ref="AL43">IFERROR(_xlfn.LET(_xlpm.txt,M43,_xlpm.inside,MID(_xlpm.txt,FIND("[",_xlpm.txt)+1,FIND("]",_xlpm.txt)-FIND("[",_xlpm.txt)-1),_xlpm.nums,VALUE(_xlfn.TEXTSPLIT(_xlpm.inside,",")),_xlpm.mapped,_xlfn.XLOOKUP(_xlpm.nums,$X$2:$X$100,$Y$2:$Y$100),SUBSTITUTE(_xlpm.txt,"["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"]")),M43)</f>
        <v>La, Ce, Nd, Y, Pr, Sm, transition metals [54]</v>
      </c>
      <c r="AM43" t="str" cm="1">
        <f t="array" ref="AM43">IFERROR(_xlfn.LET(_xlpm.txt,N43,_xlpm.inside,MID(_xlpm.txt,FIND("[",_xlpm.txt)+1,FIND("]",_xlpm.txt)-FIND("[",_xlpm.txt)-1),_xlpm.nums,VALUE(_xlfn.TEXTSPLIT(_xlpm.inside,",")),_xlpm.mapped,_xlfn.XLOOKUP(_xlpm.nums,$X$2:$X$100,$Y$2:$Y$100),SUBSTITUTE(_xlpm.txt,"["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"]")),N43)</f>
        <v>Wet solid or sludge state: precipitated metal hydroxides [54]</v>
      </c>
      <c r="AN43" t="str" cm="1">
        <f t="array" ref="AN43">IFERROR(_xlfn.LET(_xlpm.txt,O43,_xlpm.inside,MID(_xlpm.txt,FIND("[",_xlpm.txt)+1,FIND("]",_xlpm.txt)-FIND("[",_xlpm.txt)-1),_xlpm.nums,VALUE(_xlfn.TEXTSPLIT(_xlpm.inside,",")),_xlpm.mapped,_xlfn.XLOOKUP(_xlpm.nums,$X$2:$X$100,$Y$2:$Y$100),SUBSTITUTE(_xlpm.txt,"["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"]")),O43)</f>
        <v>Unavailable data</v>
      </c>
      <c r="AO43" t="str" cm="1">
        <f t="array" ref="AO43">IFERROR(_xlfn.LET(_xlpm.txt,P43,_xlpm.inside,MID(_xlpm.txt,FIND("[",_xlpm.txt)+1,FIND("]",_xlpm.txt)-FIND("[",_xlpm.txt)-1),_xlpm.nums,VALUE(_xlfn.TEXTSPLIT(_xlpm.inside,",")),_xlpm.mapped,_xlfn.XLOOKUP(_xlpm.nums,$X$2:$X$100,$Y$2:$Y$100),SUBSTITUTE(_xlpm.txt,"["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"]")),P43)</f>
        <v>7.0–9.5: product is pH adjusted [54]</v>
      </c>
      <c r="AP43" t="str" cm="1">
        <f t="array" ref="AP43">IFERROR(_xlfn.LET(_xlpm.txt,Q43,_xlpm.inside,MID(_xlpm.txt,FIND("[",_xlpm.txt)+1,FIND("]",_xlpm.txt)-FIND("[",_xlpm.txt)-1),_xlpm.nums,VALUE(_xlfn.TEXTSPLIT(_xlpm.inside,",")),_xlpm.mapped,_xlfn.XLOOKUP(_xlpm.nums,$X$2:$X$100,$Y$2:$Y$100),SUBSTITUTE(_xlpm.txt,"["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"]")),Q43)</f>
        <v>High: effluent treatment product handled as wet filter cake [54]</v>
      </c>
    </row>
    <row r="44" spans="1:42" ht="68" x14ac:dyDescent="0.2">
      <c r="A44" s="55" t="s">
        <v>229</v>
      </c>
      <c r="B44" s="25" t="s">
        <v>1512</v>
      </c>
      <c r="C44" s="25" t="s">
        <v>41</v>
      </c>
      <c r="D44" s="25" t="s">
        <v>1513</v>
      </c>
      <c r="E44" s="25" t="s">
        <v>1514</v>
      </c>
      <c r="F44" s="25" t="s">
        <v>1515</v>
      </c>
      <c r="G44" s="25" t="s">
        <v>1658</v>
      </c>
      <c r="H44" s="25" t="s">
        <v>1516</v>
      </c>
      <c r="I44" s="23" t="s">
        <v>1517</v>
      </c>
      <c r="J44" s="25" t="s">
        <v>299</v>
      </c>
      <c r="K44" s="25" t="s">
        <v>1518</v>
      </c>
      <c r="L44" s="25" t="s">
        <v>556</v>
      </c>
      <c r="M44" s="25" t="s">
        <v>1519</v>
      </c>
      <c r="N44" s="25" t="s">
        <v>1520</v>
      </c>
      <c r="O44" s="25" t="s">
        <v>235</v>
      </c>
      <c r="P44" s="25" t="s">
        <v>1521</v>
      </c>
      <c r="Q44" s="25" t="s">
        <v>1522</v>
      </c>
      <c r="X44" s="36">
        <v>48</v>
      </c>
      <c r="Y44" s="63">
        <v>54</v>
      </c>
      <c r="AA44" t="str" cm="1">
        <f t="array" ref="AA44">IFERROR(_xlfn.LET(_xlpm.txt,B44,_xlpm.inside,MID(_xlpm.txt,FIND("[",_xlpm.txt)+1,FIND("]",_xlpm.txt)-FIND("[",_xlpm.txt)-1),_xlpm.nums,VALUE(_xlfn.TEXTSPLIT(_xlpm.inside,",")),_xlpm.mapped,_xlfn.XLOOKUP(_xlpm.nums,$X$2:$X$100,$Y$2:$Y$100),SUBSTITUTE(_xlpm.txt,"["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"]")),B44)</f>
        <v>Ilmenite (FeTiO3), rutile (TiO2), monazite, xenotime [3]</v>
      </c>
      <c r="AB44" t="str" cm="1">
        <f t="array" ref="AB44">IFERROR(_xlfn.LET(_xlpm.txt,C44,_xlpm.inside,MID(_xlpm.txt,FIND("[",_xlpm.txt)+1,FIND("]",_xlpm.txt)-FIND("[",_xlpm.txt)-1),_xlpm.nums,VALUE(_xlfn.TEXTSPLIT(_xlpm.inside,",")),_xlpm.mapped,_xlfn.XLOOKUP(_xlpm.nums,$X$2:$X$100,$Y$2:$Y$100),SUBSTITUTE(_xlpm.txt,"["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"]")),C44)</f>
        <v>TiO2 plant residues</v>
      </c>
      <c r="AC44" t="str" cm="1">
        <f t="array" ref="AC44">IFERROR(_xlfn.LET(_xlpm.txt,D44,_xlpm.inside,MID(_xlpm.txt,FIND("[",_xlpm.txt)+1,FIND("]",_xlpm.txt)-FIND("[",_xlpm.txt)-1),_xlpm.nums,VALUE(_xlfn.TEXTSPLIT(_xlpm.inside,",")),_xlpm.mapped,_xlfn.XLOOKUP(_xlpm.nums,$X$2:$X$100,$Y$2:$Y$100),SUBSTITUTE(_xlpm.txt,"["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"]")),D44)</f>
        <v>TiO2 sulfate or chloride digestion residues [54]</v>
      </c>
      <c r="AD44" t="str" cm="1">
        <f t="array" ref="AD44">IFERROR(_xlfn.LET(_xlpm.txt,E44,_xlpm.inside,MID(_xlpm.txt,FIND("[",_xlpm.txt)+1,FIND("]",_xlpm.txt)-FIND("[",_xlpm.txt)-1),_xlpm.nums,VALUE(_xlfn.TEXTSPLIT(_xlpm.inside,",")),_xlpm.mapped,_xlfn.XLOOKUP(_xlpm.nums,$X$2:$X$100,$Y$2:$Y$100),SUBSTITUTE(_xlpm.txt,"["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"]")),E44)</f>
        <v>Acid leaching to extract Ti or Mg or Al [54]
Thermal roasting to liberate REE–bearing phases [37]</v>
      </c>
      <c r="AE44" t="str" cm="1">
        <f t="array" ref="AE44">IFERROR(_xlfn.LET(_xlpm.txt,F44,_xlpm.inside,MID(_xlpm.txt,FIND("[",_xlpm.txt)+1,FIND("]",_xlpm.txt)-FIND("[",_xlpm.txt)-1),_xlpm.nums,VALUE(_xlfn.TEXTSPLIT(_xlpm.inside,",")),_xlpm.mapped,_xlfn.XLOOKUP(_xlpm.nums,$X$2:$X$100,$Y$2:$Y$100),SUBSTITUTE(_xlpm.txt,"["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"]")),F44)</f>
        <v>Sulfate or chloride load, Th or U traces [54]</v>
      </c>
      <c r="AF44" t="str" cm="1">
        <f t="array" ref="AF44">IFERROR(_xlfn.LET(_xlpm.txt,G44,_xlpm.inside,MID(_xlpm.txt,FIND("[",_xlpm.txt)+1,FIND("]",_xlpm.txt)-FIND("[",_xlpm.txt)-1),_xlpm.nums,VALUE(_xlfn.TEXTSPLIT(_xlpm.inside,",")),_xlpm.mapped,_xlfn.XLOOKUP(_xlpm.nums,$X$2:$X$100,$Y$2:$Y$100),SUBSTITUTE(_xlpm.txt,"["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"]")),G44)</f>
        <v>Enrichment of Ti, Mg, Al provides high-performance catalysts and binders [54]</v>
      </c>
      <c r="AG44" t="str" cm="1">
        <f t="array" ref="AG44">IFERROR(_xlfn.LET(_xlpm.txt,H44,_xlpm.inside,MID(_xlpm.txt,FIND("[",_xlpm.txt)+1,FIND("]",_xlpm.txt)-FIND("[",_xlpm.txt)-1),_xlpm.nums,VALUE(_xlfn.TEXTSPLIT(_xlpm.inside,",")),_xlpm.mapped,_xlfn.XLOOKUP(_xlpm.nums,$X$2:$X$100,$Y$2:$Y$100),SUBSTITUTE(_xlpm.txt,"["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"]")),H44)</f>
        <v>Ti or Mg or Al enriched catalysts, pigments [54]</v>
      </c>
      <c r="AH44" t="str" cm="1">
        <f t="array" ref="AH44">IFERROR(_xlfn.LET(_xlpm.txt,I44,_xlpm.inside,MID(_xlpm.txt,FIND("[",_xlpm.txt)+1,FIND("]",_xlpm.txt)-FIND("[",_xlpm.txt)-1),_xlpm.nums,VALUE(_xlfn.TEXTSPLIT(_xlpm.inside,",")),_xlpm.mapped,_xlfn.XLOOKUP(_xlpm.nums,$X$2:$X$100,$Y$2:$Y$100),SUBSTITUTE(_xlpm.txt,"["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"]")),I44)</f>
        <v>V, Nb [54]</v>
      </c>
      <c r="AI44" t="str" cm="1">
        <f t="array" ref="AI44">IFERROR(_xlfn.LET(_xlpm.txt,J44,_xlpm.inside,MID(_xlpm.txt,FIND("[",_xlpm.txt)+1,FIND("]",_xlpm.txt)-FIND("[",_xlpm.txt)-1),_xlpm.nums,VALUE(_xlfn.TEXTSPLIT(_xlpm.inside,",")),_xlpm.mapped,_xlfn.XLOOKUP(_xlpm.nums,$X$2:$X$100,$Y$2:$Y$100),SUBSTITUTE(_xlpm.txt,"["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"]")),J44)</f>
        <v>Ti metal, 49</v>
      </c>
      <c r="AJ44" t="str" cm="1">
        <f t="array" ref="AJ44">IFERROR(_xlfn.LET(_xlpm.txt,K44,_xlpm.inside,MID(_xlpm.txt,FIND("[",_xlpm.txt)+1,FIND("]",_xlpm.txt)-FIND("[",_xlpm.txt)-1),_xlpm.nums,VALUE(_xlfn.TEXTSPLIT(_xlpm.inside,",")),_xlpm.mapped,_xlfn.XLOOKUP(_xlpm.nums,$X$2:$X$100,$Y$2:$Y$100),SUBSTITUTE(_xlpm.txt,"["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"]")),K44)</f>
        <v>Mg(Fe, Al)2O4 (82%)
Free MgO (9%)
Ti, V, Cr (traces) [1]</v>
      </c>
      <c r="AK44" t="str" cm="1">
        <f t="array" ref="AK44">IFERROR(_xlfn.LET(_xlpm.txt,L44,_xlpm.inside,MID(_xlpm.txt,FIND("[",_xlpm.txt)+1,FIND("]",_xlpm.txt)-FIND("[",_xlpm.txt)-1),_xlpm.nums,VALUE(_xlfn.TEXTSPLIT(_xlpm.inside,",")),_xlpm.mapped,_xlfn.XLOOKUP(_xlpm.nums,$X$2:$X$100,$Y$2:$Y$100),SUBSTITUTE(_xlpm.txt,"["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"]")),L44)</f>
        <v>Spinel solid solution (Mg[Fe,Al]2​O4​)
Periclase (MgO)
Rutile (TiO2​) [13]</v>
      </c>
      <c r="AL44" t="str" cm="1">
        <f t="array" ref="AL44">IFERROR(_xlfn.LET(_xlpm.txt,M44,_xlpm.inside,MID(_xlpm.txt,FIND("[",_xlpm.txt)+1,FIND("]",_xlpm.txt)-FIND("[",_xlpm.txt)-1),_xlpm.nums,VALUE(_xlfn.TEXTSPLIT(_xlpm.inside,",")),_xlpm.mapped,_xlfn.XLOOKUP(_xlpm.nums,$X$2:$X$100,$Y$2:$Y$100),SUBSTITUTE(_xlpm.txt,"["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"]")),M44)</f>
        <v>Mg, Fe, Al, O, Ti, V, Cr, Ca, Mn, Na, Si, K [1]</v>
      </c>
      <c r="AM44" t="str" cm="1">
        <f t="array" ref="AM44">IFERROR(_xlfn.LET(_xlpm.txt,N44,_xlpm.inside,MID(_xlpm.txt,FIND("[",_xlpm.txt)+1,FIND("]",_xlpm.txt)-FIND("[",_xlpm.txt)-1),_xlpm.nums,VALUE(_xlfn.TEXTSPLIT(_xlpm.inside,",")),_xlpm.mapped,_xlfn.XLOOKUP(_xlpm.nums,$X$2:$X$100,$Y$2:$Y$100),SUBSTITUTE(_xlpm.txt,"["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"]")),N44)</f>
        <v>Solid state: fine–grained oxide residue, mixed with iron–magnesium oxides [1]</v>
      </c>
      <c r="AN44" t="str" cm="1">
        <f t="array" ref="AN44">IFERROR(_xlfn.LET(_xlpm.txt,O44,_xlpm.inside,MID(_xlpm.txt,FIND("[",_xlpm.txt)+1,FIND("]",_xlpm.txt)-FIND("[",_xlpm.txt)-1),_xlpm.nums,VALUE(_xlfn.TEXTSPLIT(_xlpm.inside,",")),_xlpm.mapped,_xlfn.XLOOKUP(_xlpm.nums,$X$2:$X$100,$Y$2:$Y$100),SUBSTITUTE(_xlpm.txt,"["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"]")),O44)</f>
        <v>Unavailable data</v>
      </c>
      <c r="AO44" t="str" cm="1">
        <f t="array" ref="AO44">IFERROR(_xlfn.LET(_xlpm.txt,P44,_xlpm.inside,MID(_xlpm.txt,FIND("[",_xlpm.txt)+1,FIND("]",_xlpm.txt)-FIND("[",_xlpm.txt)-1),_xlpm.nums,VALUE(_xlfn.TEXTSPLIT(_xlpm.inside,",")),_xlpm.mapped,_xlfn.XLOOKUP(_xlpm.nums,$X$2:$X$100,$Y$2:$Y$100),SUBSTITUTE(_xlpm.txt,"["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"]")),P44)</f>
        <v>Near neutral–alkaline: insoluble Fe–Mg oxide residue) [1]</v>
      </c>
      <c r="AP44" t="str" cm="1">
        <f t="array" ref="AP44">IFERROR(_xlfn.LET(_xlpm.txt,Q44,_xlpm.inside,MID(_xlpm.txt,FIND("[",_xlpm.txt)+1,FIND("]",_xlpm.txt)-FIND("[",_xlpm.txt)-1),_xlpm.nums,VALUE(_xlfn.TEXTSPLIT(_xlpm.inside,",")),_xlpm.mapped,_xlfn.XLOOKUP(_xlpm.nums,$X$2:$X$100,$Y$2:$Y$100),SUBSTITUTE(_xlpm.txt,"["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"]")),Q44)</f>
        <v>Low: Insoluble dry oxide residue i.e., Mg–Fe oxides [1]</v>
      </c>
    </row>
    <row r="45" spans="1:42" ht="68" x14ac:dyDescent="0.2">
      <c r="A45" s="55" t="s">
        <v>229</v>
      </c>
      <c r="B45" s="25" t="s">
        <v>1512</v>
      </c>
      <c r="C45" s="25" t="s">
        <v>233</v>
      </c>
      <c r="D45" s="25" t="s">
        <v>1523</v>
      </c>
      <c r="E45" s="25" t="s">
        <v>1524</v>
      </c>
      <c r="F45" s="25" t="s">
        <v>1525</v>
      </c>
      <c r="G45" s="25" t="s">
        <v>1619</v>
      </c>
      <c r="H45" s="25" t="s">
        <v>1526</v>
      </c>
      <c r="I45" s="25" t="s">
        <v>1527</v>
      </c>
      <c r="J45" s="25" t="s">
        <v>1528</v>
      </c>
      <c r="K45" s="25" t="s">
        <v>1529</v>
      </c>
      <c r="L45" s="25" t="s">
        <v>1530</v>
      </c>
      <c r="M45" s="25" t="s">
        <v>1531</v>
      </c>
      <c r="N45" s="24" t="s">
        <v>1532</v>
      </c>
      <c r="O45" s="25" t="s">
        <v>235</v>
      </c>
      <c r="P45" s="25" t="s">
        <v>1533</v>
      </c>
      <c r="Q45" s="25" t="s">
        <v>1534</v>
      </c>
      <c r="X45" s="36">
        <v>49</v>
      </c>
      <c r="Y45" s="63">
        <v>48</v>
      </c>
      <c r="AA45" t="str" cm="1">
        <f t="array" ref="AA45">IFERROR(_xlfn.LET(_xlpm.txt,B45,_xlpm.inside,MID(_xlpm.txt,FIND("[",_xlpm.txt)+1,FIND("]",_xlpm.txt)-FIND("[",_xlpm.txt)-1),_xlpm.nums,VALUE(_xlfn.TEXTSPLIT(_xlpm.inside,",")),_xlpm.mapped,_xlfn.XLOOKUP(_xlpm.nums,$X$2:$X$100,$Y$2:$Y$100),SUBSTITUTE(_xlpm.txt,"["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"]")),B45)</f>
        <v>Ilmenite (FeTiO3), rutile (TiO2), monazite, xenotime [3]</v>
      </c>
      <c r="AB45" t="str" cm="1">
        <f t="array" ref="AB45">IFERROR(_xlfn.LET(_xlpm.txt,C45,_xlpm.inside,MID(_xlpm.txt,FIND("[",_xlpm.txt)+1,FIND("]",_xlpm.txt)-FIND("[",_xlpm.txt)-1),_xlpm.nums,VALUE(_xlfn.TEXTSPLIT(_xlpm.inside,",")),_xlpm.mapped,_xlfn.XLOOKUP(_xlpm.nums,$X$2:$X$100,$Y$2:$Y$100),SUBSTITUTE(_xlpm.txt,"["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"]")),C45)</f>
        <v>REE digestion residues</v>
      </c>
      <c r="AC45" t="str" cm="1">
        <f t="array" ref="AC45">IFERROR(_xlfn.LET(_xlpm.txt,D45,_xlpm.inside,MID(_xlpm.txt,FIND("[",_xlpm.txt)+1,FIND("]",_xlpm.txt)-FIND("[",_xlpm.txt)-1),_xlpm.nums,VALUE(_xlfn.TEXTSPLIT(_xlpm.inside,",")),_xlpm.mapped,_xlfn.XLOOKUP(_xlpm.nums,$X$2:$X$100,$Y$2:$Y$100),SUBSTITUTE(_xlpm.txt,"["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"]")),D45)</f>
        <v>Monazite or Xenotime acid digestion residues [54]</v>
      </c>
      <c r="AD45" t="str" cm="1">
        <f t="array" ref="AD45">IFERROR(_xlfn.LET(_xlpm.txt,E45,_xlpm.inside,MID(_xlpm.txt,FIND("[",_xlpm.txt)+1,FIND("]",_xlpm.txt)-FIND("[",_xlpm.txt)-1),_xlpm.nums,VALUE(_xlfn.TEXTSPLIT(_xlpm.inside,",")),_xlpm.mapped,_xlfn.XLOOKUP(_xlpm.nums,$X$2:$X$100,$Y$2:$Y$100),SUBSTITUTE(_xlpm.txt,"["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"]")),E45)</f>
        <v>Leaching to extract remaining residual REEs [54]
Neutralization to stabilize radioactive elements [37]</v>
      </c>
      <c r="AE45" t="str" cm="1">
        <f t="array" ref="AE45">IFERROR(_xlfn.LET(_xlpm.txt,F45,_xlpm.inside,MID(_xlpm.txt,FIND("[",_xlpm.txt)+1,FIND("]",_xlpm.txt)-FIND("[",_xlpm.txt)-1),_xlpm.nums,VALUE(_xlfn.TEXTSPLIT(_xlpm.inside,",")),_xlpm.mapped,_xlfn.XLOOKUP(_xlpm.nums,$X$2:$X$100,$Y$2:$Y$100),SUBSTITUTE(_xlpm.txt,"["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"]")),F45)</f>
        <v>Radioactivity, complex separation chemistry [54]</v>
      </c>
      <c r="AF45" t="str" cm="1">
        <f t="array" ref="AF45">IFERROR(_xlfn.LET(_xlpm.txt,G45,_xlpm.inside,MID(_xlpm.txt,FIND("[",_xlpm.txt)+1,FIND("]",_xlpm.txt)-FIND("[",_xlpm.txt)-1),_xlpm.nums,VALUE(_xlfn.TEXTSPLIT(_xlpm.inside,",")),_xlpm.mapped,_xlfn.XLOOKUP(_xlpm.nums,$X$2:$X$100,$Y$2:$Y$100),SUBSTITUTE(_xlpm.txt,"["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"]")),G45)</f>
        <v>Recovery of heavy REEs and Sc provides a key economic opportunity in context of circular economy [3]</v>
      </c>
      <c r="AG45" t="str" cm="1">
        <f t="array" ref="AG45">IFERROR(_xlfn.LET(_xlpm.txt,H45,_xlpm.inside,MID(_xlpm.txt,FIND("[",_xlpm.txt)+1,FIND("]",_xlpm.txt)-FIND("[",_xlpm.txt)-1),_xlpm.nums,VALUE(_xlfn.TEXTSPLIT(_xlpm.inside,",")),_xlpm.mapped,_xlfn.XLOOKUP(_xlpm.nums,$X$2:$X$100,$Y$2:$Y$100),SUBSTITUTE(_xlpm.txt,"["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"]")),H45)</f>
        <v>Refined REE oxides, construction fillers [54]</v>
      </c>
      <c r="AH45" t="str" cm="1">
        <f t="array" ref="AH45">IFERROR(_xlfn.LET(_xlpm.txt,I45,_xlpm.inside,MID(_xlpm.txt,FIND("[",_xlpm.txt)+1,FIND("]",_xlpm.txt)-FIND("[",_xlpm.txt)-1),_xlpm.nums,VALUE(_xlfn.TEXTSPLIT(_xlpm.inside,",")),_xlpm.mapped,_xlfn.XLOOKUP(_xlpm.nums,$X$2:$X$100,$Y$2:$Y$100),SUBSTITUTE(_xlpm.txt,"["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"]")),I45)</f>
        <v>Sc, REEs – LREEs and HREEs [2]</v>
      </c>
      <c r="AI45" t="str" cm="1">
        <f t="array" ref="AI45">IFERROR(_xlfn.LET(_xlpm.txt,J45,_xlpm.inside,MID(_xlpm.txt,FIND("[",_xlpm.txt)+1,FIND("]",_xlpm.txt)-FIND("[",_xlpm.txt)-1),_xlpm.nums,VALUE(_xlfn.TEXTSPLIT(_xlpm.inside,",")),_xlpm.mapped,_xlfn.XLOOKUP(_xlpm.nums,$X$2:$X$100,$Y$2:$Y$100),SUBSTITUTE(_xlpm.txt,"["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"]")),J45)</f>
        <v>REEs for magnets [2]</v>
      </c>
      <c r="AJ45" t="str" cm="1">
        <f t="array" ref="AJ45">IFERROR(_xlfn.LET(_xlpm.txt,K45,_xlpm.inside,MID(_xlpm.txt,FIND("[",_xlpm.txt)+1,FIND("]",_xlpm.txt)-FIND("[",_xlpm.txt)-1),_xlpm.nums,VALUE(_xlfn.TEXTSPLIT(_xlpm.inside,",")),_xlpm.mapped,_xlfn.XLOOKUP(_xlpm.nums,$X$2:$X$100,$Y$2:$Y$100),SUBSTITUTE(_xlpm.txt,"["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"]")),K45)</f>
        <v>Ce2O3 (34–51%)
TiO2 (9–24%)
Fe2O3 (7–23%) [3]</v>
      </c>
      <c r="AK45" t="str" cm="1">
        <f t="array" ref="AK45">IFERROR(_xlfn.LET(_xlpm.txt,L45,_xlpm.inside,MID(_xlpm.txt,FIND("[",_xlpm.txt)+1,FIND("]",_xlpm.txt)-FIND("[",_xlpm.txt)-1),_xlpm.nums,VALUE(_xlfn.TEXTSPLIT(_xlpm.inside,",")),_xlpm.mapped,_xlfn.XLOOKUP(_xlpm.nums,$X$2:$X$100,$Y$2:$Y$100),SUBSTITUTE(_xlpm.txt,"["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"]")),L45)</f>
        <v>Cerium ferrotitanate
Sodalite
Cancrinite [3]</v>
      </c>
      <c r="AL45" t="str" cm="1">
        <f t="array" ref="AL45">IFERROR(_xlfn.LET(_xlpm.txt,M45,_xlpm.inside,MID(_xlpm.txt,FIND("[",_xlpm.txt)+1,FIND("]",_xlpm.txt)-FIND("[",_xlpm.txt)-1),_xlpm.nums,VALUE(_xlfn.TEXTSPLIT(_xlpm.inside,",")),_xlpm.mapped,_xlfn.XLOOKUP(_xlpm.nums,$X$2:$X$100,$Y$2:$Y$100),SUBSTITUTE(_xlpm.txt,"["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"]")),M45)</f>
        <v>Ce, Ti, Fe, Ca, Na, O, La, Pr, Nd, Th, Al, Si [3]</v>
      </c>
      <c r="AM45" t="str" cm="1">
        <f t="array" ref="AM45">IFERROR(_xlfn.LET(_xlpm.txt,N45,_xlpm.inside,MID(_xlpm.txt,FIND("[",_xlpm.txt)+1,FIND("]",_xlpm.txt)-FIND("[",_xlpm.txt)-1),_xlpm.nums,VALUE(_xlfn.TEXTSPLIT(_xlpm.inside,",")),_xlpm.mapped,_xlfn.XLOOKUP(_xlpm.nums,$X$2:$X$100,$Y$2:$Y$100),SUBSTITUTE(_xlpm.txt,"["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"]")),N45)</f>
        <v>Solid state: insoluble particulate residue after acid treatment [2]</v>
      </c>
      <c r="AN45" t="str" cm="1">
        <f t="array" ref="AN45">IFERROR(_xlfn.LET(_xlpm.txt,O45,_xlpm.inside,MID(_xlpm.txt,FIND("[",_xlpm.txt)+1,FIND("]",_xlpm.txt)-FIND("[",_xlpm.txt)-1),_xlpm.nums,VALUE(_xlfn.TEXTSPLIT(_xlpm.inside,",")),_xlpm.mapped,_xlfn.XLOOKUP(_xlpm.nums,$X$2:$X$100,$Y$2:$Y$100),SUBSTITUTE(_xlpm.txt,"["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"]")),O45)</f>
        <v>Unavailable data</v>
      </c>
      <c r="AO45" t="str" cm="1">
        <f t="array" ref="AO45">IFERROR(_xlfn.LET(_xlpm.txt,P45,_xlpm.inside,MID(_xlpm.txt,FIND("[",_xlpm.txt)+1,FIND("]",_xlpm.txt)-FIND("[",_xlpm.txt)-1),_xlpm.nums,VALUE(_xlfn.TEXTSPLIT(_xlpm.inside,",")),_xlpm.mapped,_xlfn.XLOOKUP(_xlpm.nums,$X$2:$X$100,$Y$2:$Y$100),SUBSTITUTE(_xlpm.txt,"["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"]")),P45)</f>
        <v>Alkaline: resulted from concentrated NaOH digestion [2]</v>
      </c>
      <c r="AP45" t="str" cm="1">
        <f t="array" ref="AP45">IFERROR(_xlfn.LET(_xlpm.txt,Q45,_xlpm.inside,MID(_xlpm.txt,FIND("[",_xlpm.txt)+1,FIND("]",_xlpm.txt)-FIND("[",_xlpm.txt)-1),_xlpm.nums,VALUE(_xlfn.TEXTSPLIT(_xlpm.inside,",")),_xlpm.mapped,_xlfn.XLOOKUP(_xlpm.nums,$X$2:$X$100,$Y$2:$Y$100),SUBSTITUTE(_xlpm.txt,"["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"]")),Q45)</f>
        <v>Low: insoluble dry particulate prior acid treatment [2]</v>
      </c>
    </row>
    <row r="46" spans="1:42" ht="119" x14ac:dyDescent="0.2">
      <c r="A46" s="26" t="s">
        <v>42</v>
      </c>
      <c r="B46" s="27" t="s">
        <v>1535</v>
      </c>
      <c r="C46" s="27" t="s">
        <v>43</v>
      </c>
      <c r="D46" s="27" t="s">
        <v>1536</v>
      </c>
      <c r="E46" s="27" t="s">
        <v>1537</v>
      </c>
      <c r="F46" s="27" t="s">
        <v>1538</v>
      </c>
      <c r="G46" s="27" t="s">
        <v>1618</v>
      </c>
      <c r="H46" s="27" t="s">
        <v>1539</v>
      </c>
      <c r="I46" s="27" t="s">
        <v>1540</v>
      </c>
      <c r="J46" s="27" t="s">
        <v>1541</v>
      </c>
      <c r="K46" s="27" t="s">
        <v>1542</v>
      </c>
      <c r="L46" s="27" t="s">
        <v>1543</v>
      </c>
      <c r="M46" s="27" t="s">
        <v>1544</v>
      </c>
      <c r="N46" s="27" t="s">
        <v>1545</v>
      </c>
      <c r="O46" s="27" t="s">
        <v>1546</v>
      </c>
      <c r="P46" s="27" t="s">
        <v>1547</v>
      </c>
      <c r="Q46" s="27" t="s">
        <v>1548</v>
      </c>
      <c r="X46" s="36">
        <v>50</v>
      </c>
      <c r="Y46" s="63">
        <v>19</v>
      </c>
      <c r="AA46" t="str" cm="1">
        <f t="array" ref="AA46">IFERROR(_xlfn.LET(_xlpm.txt,B46,_xlpm.inside,MID(_xlpm.txt,FIND("[",_xlpm.txt)+1,FIND("]",_xlpm.txt)-FIND("[",_xlpm.txt)-1),_xlpm.nums,VALUE(_xlfn.TEXTSPLIT(_xlpm.inside,",")),_xlpm.mapped,_xlfn.XLOOKUP(_xlpm.nums,$X$2:$X$100,$Y$2:$Y$100),SUBSTITUTE(_xlpm.txt,"["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"]")),B46)</f>
        <v>Native gold, quartz veins [25,43]</v>
      </c>
      <c r="AB46" t="str" cm="1">
        <f t="array" ref="AB46">IFERROR(_xlfn.LET(_xlpm.txt,C46,_xlpm.inside,MID(_xlpm.txt,FIND("[",_xlpm.txt)+1,FIND("]",_xlpm.txt)-FIND("[",_xlpm.txt)-1),_xlpm.nums,VALUE(_xlfn.TEXTSPLIT(_xlpm.inside,",")),_xlpm.mapped,_xlfn.XLOOKUP(_xlpm.nums,$X$2:$X$100,$Y$2:$Y$100),SUBSTITUTE(_xlpm.txt,"["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"]")),C46)</f>
        <v>Cyanidation tailings</v>
      </c>
      <c r="AC46" t="str" cm="1">
        <f t="array" ref="AC46">IFERROR(_xlfn.LET(_xlpm.txt,D46,_xlpm.inside,MID(_xlpm.txt,FIND("[",_xlpm.txt)+1,FIND("]",_xlpm.txt)-FIND("[",_xlpm.txt)-1),_xlpm.nums,VALUE(_xlfn.TEXTSPLIT(_xlpm.inside,",")),_xlpm.mapped,_xlfn.XLOOKUP(_xlpm.nums,$X$2:$X$100,$Y$2:$Y$100),SUBSTITUTE(_xlpm.txt,"["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"]")),D46)</f>
        <v>Gold extraction – cyanidation (CIL or CIP or Heap leach) [43,52]</v>
      </c>
      <c r="AD46" t="str" cm="1">
        <f t="array" ref="AD46">IFERROR(_xlfn.LET(_xlpm.txt,E46,_xlpm.inside,MID(_xlpm.txt,FIND("[",_xlpm.txt)+1,FIND("]",_xlpm.txt)-FIND("[",_xlpm.txt)-1),_xlpm.nums,VALUE(_xlfn.TEXTSPLIT(_xlpm.inside,",")),_xlpm.mapped,_xlfn.XLOOKUP(_xlpm.nums,$X$2:$X$100,$Y$2:$Y$100),SUBSTITUTE(_xlpm.txt,"["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"]")),E46)</f>
        <v>Detoxification (SO2/air process) to destroy residual cyanide [43]
Thiosulfate or halide releaching to recover remaining Au or Ag metals [23]
Geopolymerization to immobilize residual toxic phases involving alkali activation [23]</v>
      </c>
      <c r="AE46" t="str" cm="1">
        <f t="array" ref="AE46">IFERROR(_xlfn.LET(_xlpm.txt,F46,_xlpm.inside,MID(_xlpm.txt,FIND("[",_xlpm.txt)+1,FIND("]",_xlpm.txt)-FIND("[",_xlpm.txt)-1),_xlpm.nums,VALUE(_xlfn.TEXTSPLIT(_xlpm.inside,",")),_xlpm.mapped,_xlfn.XLOOKUP(_xlpm.nums,$X$2:$X$100,$Y$2:$Y$100),SUBSTITUTE(_xlpm.txt,"["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"]")),F46)</f>
        <v>Cyanide toxicity, AMD risk [43]</v>
      </c>
      <c r="AF46" t="str" cm="1">
        <f t="array" ref="AF46">IFERROR(_xlfn.LET(_xlpm.txt,G46,_xlpm.inside,MID(_xlpm.txt,FIND("[",_xlpm.txt)+1,FIND("]",_xlpm.txt)-FIND("[",_xlpm.txt)-1),_xlpm.nums,VALUE(_xlfn.TEXTSPLIT(_xlpm.inside,",")),_xlpm.mapped,_xlfn.XLOOKUP(_xlpm.nums,$X$2:$X$100,$Y$2:$Y$100),SUBSTITUTE(_xlpm.txt,"["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"]")),G46)</f>
        <v>Recovery of Au is significant to reduce environmental liability and facilitate in land reclamation [43]</v>
      </c>
      <c r="AG46" t="str" cm="1">
        <f t="array" ref="AG46">IFERROR(_xlfn.LET(_xlpm.txt,H46,_xlpm.inside,MID(_xlpm.txt,FIND("[",_xlpm.txt)+1,FIND("]",_xlpm.txt)-FIND("[",_xlpm.txt)-1),_xlpm.nums,VALUE(_xlfn.TEXTSPLIT(_xlpm.inside,",")),_xlpm.mapped,_xlfn.XLOOKUP(_xlpm.nums,$X$2:$X$100,$Y$2:$Y$100),SUBSTITUTE(_xlpm.txt,"["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"]")),H46)</f>
        <v>OPC clinker, geopolymer pavers, residual Au or Ag or Cu recovery [43]</v>
      </c>
      <c r="AH46" t="str" cm="1">
        <f t="array" ref="AH46">IFERROR(_xlfn.LET(_xlpm.txt,I46,_xlpm.inside,MID(_xlpm.txt,FIND("[",_xlpm.txt)+1,FIND("]",_xlpm.txt)-FIND("[",_xlpm.txt)-1),_xlpm.nums,VALUE(_xlfn.TEXTSPLIT(_xlpm.inside,",")),_xlpm.mapped,_xlfn.XLOOKUP(_xlpm.nums,$X$2:$X$100,$Y$2:$Y$100),SUBSTITUTE(_xlpm.txt,"["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"]")),I46)</f>
        <v>Sb, traces of As [43]</v>
      </c>
      <c r="AI46" t="str" cm="1">
        <f t="array" ref="AI46">IFERROR(_xlfn.LET(_xlpm.txt,J46,_xlpm.inside,MID(_xlpm.txt,FIND("[",_xlpm.txt)+1,FIND("]",_xlpm.txt)-FIND("[",_xlpm.txt)-1),_xlpm.nums,VALUE(_xlfn.TEXTSPLIT(_xlpm.inside,",")),_xlpm.mapped,_xlfn.XLOOKUP(_xlpm.nums,$X$2:$X$100,$Y$2:$Y$100),SUBSTITUTE(_xlpm.txt,"["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"]")),J46)</f>
        <v>Cu [43]</v>
      </c>
      <c r="AJ46" t="str" cm="1">
        <f t="array" ref="AJ46">IFERROR(_xlfn.LET(_xlpm.txt,K46,_xlpm.inside,MID(_xlpm.txt,FIND("[",_xlpm.txt)+1,FIND("]",_xlpm.txt)-FIND("[",_xlpm.txt)-1),_xlpm.nums,VALUE(_xlfn.TEXTSPLIT(_xlpm.inside,",")),_xlpm.mapped,_xlfn.XLOOKUP(_xlpm.nums,$X$2:$X$100,$Y$2:$Y$100),SUBSTITUTE(_xlpm.txt,"["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"]")),K46)</f>
        <v>Fe (27–42%)
SiO2 (24%)
Al2O3 (6%)
Au (5–10 g/t)
residual cyanide [43]</v>
      </c>
      <c r="AK46" t="str" cm="1">
        <f t="array" ref="AK46">IFERROR(_xlfn.LET(_xlpm.txt,L46,_xlpm.inside,MID(_xlpm.txt,FIND("[",_xlpm.txt)+1,FIND("]",_xlpm.txt)-FIND("[",_xlpm.txt)-1),_xlpm.nums,VALUE(_xlfn.TEXTSPLIT(_xlpm.inside,",")),_xlpm.mapped,_xlfn.XLOOKUP(_xlpm.nums,$X$2:$X$100,$Y$2:$Y$100),SUBSTITUTE(_xlpm.txt,"["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"]")),L46)</f>
        <v>Quartz (SiO2​)
Pyrite (FeS2​)
Feldspar
Mica
Hematite
Goethite [43]</v>
      </c>
      <c r="AL46" t="str" cm="1">
        <f t="array" ref="AL46">IFERROR(_xlfn.LET(_xlpm.txt,M46,_xlpm.inside,MID(_xlpm.txt,FIND("[",_xlpm.txt)+1,FIND("]",_xlpm.txt)-FIND("[",_xlpm.txt)-1),_xlpm.nums,VALUE(_xlfn.TEXTSPLIT(_xlpm.inside,",")),_xlpm.mapped,_xlfn.XLOOKUP(_xlpm.nums,$X$2:$X$100,$Y$2:$Y$100),SUBSTITUTE(_xlpm.txt,"["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"]")),M46)</f>
        <v>Fe, Si, Al, Au, C, N, Pb, As, Cr, Ni, Zn, Hg, S, P, Cu [43]</v>
      </c>
      <c r="AM46" t="str" cm="1">
        <f t="array" ref="AM46">IFERROR(_xlfn.LET(_xlpm.txt,N46,_xlpm.inside,MID(_xlpm.txt,FIND("[",_xlpm.txt)+1,FIND("]",_xlpm.txt)-FIND("[",_xlpm.txt)-1),_xlpm.nums,VALUE(_xlfn.TEXTSPLIT(_xlpm.inside,",")),_xlpm.mapped,_xlfn.XLOOKUP(_xlpm.nums,$X$2:$X$100,$Y$2:$Y$100),SUBSTITUTE(_xlpm.txt,"["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"]")),N46)</f>
        <v>Solid state: fine dry particulate or aqueous slurry from leaching process [43]</v>
      </c>
      <c r="AN46" t="str" cm="1">
        <f t="array" ref="AN46">IFERROR(_xlfn.LET(_xlpm.txt,O46,_xlpm.inside,MID(_xlpm.txt,FIND("[",_xlpm.txt)+1,FIND("]",_xlpm.txt)-FIND("[",_xlpm.txt)-1),_xlpm.nums,VALUE(_xlfn.TEXTSPLIT(_xlpm.inside,",")),_xlpm.mapped,_xlfn.XLOOKUP(_xlpm.nums,$X$2:$X$100,$Y$2:$Y$100),SUBSTITUTE(_xlpm.txt,"["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"]")),O46)</f>
        <v>Haveri site: 1.4 Mt
Hutura site; 13.5 Mt [23]</v>
      </c>
      <c r="AO46" t="str" cm="1">
        <f t="array" ref="AO46">IFERROR(_xlfn.LET(_xlpm.txt,P46,_xlpm.inside,MID(_xlpm.txt,FIND("[",_xlpm.txt)+1,FIND("]",_xlpm.txt)-FIND("[",_xlpm.txt)-1),_xlpm.nums,VALUE(_xlfn.TEXTSPLIT(_xlpm.inside,",")),_xlpm.mapped,_xlfn.XLOOKUP(_xlpm.nums,$X$2:$X$100,$Y$2:$Y$100),SUBSTITUTE(_xlpm.txt,"["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"]")),P46)</f>
        <v>10.0–11.0: requires high pH for stabilisation of cyanide) [43]</v>
      </c>
      <c r="AP46" t="str" cm="1">
        <f t="array" ref="AP46">IFERROR(_xlfn.LET(_xlpm.txt,Q46,_xlpm.inside,MID(_xlpm.txt,FIND("[",_xlpm.txt)+1,FIND("]",_xlpm.txt)-FIND("[",_xlpm.txt)-1),_xlpm.nums,VALUE(_xlfn.TEXTSPLIT(_xlpm.inside,",")),_xlpm.mapped,_xlfn.XLOOKUP(_xlpm.nums,$X$2:$X$100,$Y$2:$Y$100),SUBSTITUTE(_xlpm.txt,"["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"]")),Q46)</f>
        <v>40.0–60.0%: typically gold mining slurry moisture range [43]</v>
      </c>
    </row>
    <row r="47" spans="1:42" ht="119" x14ac:dyDescent="0.2">
      <c r="A47" s="56" t="s">
        <v>238</v>
      </c>
      <c r="B47" s="27" t="s">
        <v>1549</v>
      </c>
      <c r="C47" s="27" t="s">
        <v>234</v>
      </c>
      <c r="D47" s="27" t="s">
        <v>1550</v>
      </c>
      <c r="E47" s="27" t="s">
        <v>1551</v>
      </c>
      <c r="F47" s="27" t="s">
        <v>1552</v>
      </c>
      <c r="G47" s="27" t="s">
        <v>1617</v>
      </c>
      <c r="H47" s="27" t="s">
        <v>1553</v>
      </c>
      <c r="I47" s="27" t="s">
        <v>1554</v>
      </c>
      <c r="J47" s="27" t="s">
        <v>1555</v>
      </c>
      <c r="K47" s="27" t="s">
        <v>1556</v>
      </c>
      <c r="L47" s="27" t="s">
        <v>1557</v>
      </c>
      <c r="M47" s="27" t="s">
        <v>1558</v>
      </c>
      <c r="N47" s="27" t="s">
        <v>1559</v>
      </c>
      <c r="O47" s="27" t="s">
        <v>235</v>
      </c>
      <c r="P47" s="27" t="s">
        <v>1560</v>
      </c>
      <c r="Q47" s="27" t="s">
        <v>1561</v>
      </c>
      <c r="X47" s="36">
        <v>51</v>
      </c>
      <c r="Y47" s="63">
        <v>5</v>
      </c>
      <c r="AA47" t="str" cm="1">
        <f t="array" ref="AA47">IFERROR(_xlfn.LET(_xlpm.txt,B47,_xlpm.inside,MID(_xlpm.txt,FIND("[",_xlpm.txt)+1,FIND("]",_xlpm.txt)-FIND("[",_xlpm.txt)-1),_xlpm.nums,VALUE(_xlfn.TEXTSPLIT(_xlpm.inside,",")),_xlpm.mapped,_xlfn.XLOOKUP(_xlpm.nums,$X$2:$X$100,$Y$2:$Y$100),SUBSTITUTE(_xlpm.txt,"["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"]")),B47)</f>
        <v>Refractory ores, sperrylite (PtAs2) [50,46,26]</v>
      </c>
      <c r="AB47" t="str" cm="1">
        <f t="array" ref="AB47">IFERROR(_xlfn.LET(_xlpm.txt,C47,_xlpm.inside,MID(_xlpm.txt,FIND("[",_xlpm.txt)+1,FIND("]",_xlpm.txt)-FIND("[",_xlpm.txt)-1),_xlpm.nums,VALUE(_xlfn.TEXTSPLIT(_xlpm.inside,",")),_xlpm.mapped,_xlfn.XLOOKUP(_xlpm.nums,$X$2:$X$100,$Y$2:$Y$100),SUBSTITUTE(_xlpm.txt,"["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"]")),C47)</f>
        <v>POX (Pressure Oxidation) residues and Roasting residues</v>
      </c>
      <c r="AC47" t="str" cm="1">
        <f t="array" ref="AC47">IFERROR(_xlfn.LET(_xlpm.txt,D47,_xlpm.inside,MID(_xlpm.txt,FIND("[",_xlpm.txt)+1,FIND("]",_xlpm.txt)-FIND("[",_xlpm.txt)-1),_xlpm.nums,VALUE(_xlfn.TEXTSPLIT(_xlpm.inside,",")),_xlpm.mapped,_xlfn.XLOOKUP(_xlpm.nums,$X$2:$X$100,$Y$2:$Y$100),SUBSTITUTE(_xlpm.txt,"["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"]")),D47)</f>
        <v>Refractory Au or PGM – pressure oxidation or roasting [43,36]</v>
      </c>
      <c r="AD47" t="str" cm="1">
        <f t="array" ref="AD47">IFERROR(_xlfn.LET(_xlpm.txt,E47,_xlpm.inside,MID(_xlpm.txt,FIND("[",_xlpm.txt)+1,FIND("]",_xlpm.txt)-FIND("[",_xlpm.txt)-1),_xlpm.nums,VALUE(_xlfn.TEXTSPLIT(_xlpm.inside,",")),_xlpm.mapped,_xlfn.XLOOKUP(_xlpm.nums,$X$2:$X$100,$Y$2:$Y$100),SUBSTITUTE(_xlpm.txt,"["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"]")),E47)</f>
        <v>Pressure oxidation or roasting to oxidize sulfides and open mineral structures [43]
Cyanidation or thiourea–leaching for liberated metals [21]
Ar stabilization (Fe–As compounds) for ensuring safe handling [21]</v>
      </c>
      <c r="AE47" t="str" cm="1">
        <f t="array" ref="AE47">IFERROR(_xlfn.LET(_xlpm.txt,F47,_xlpm.inside,MID(_xlpm.txt,FIND("[",_xlpm.txt)+1,FIND("]",_xlpm.txt)-FIND("[",_xlpm.txt)-1),_xlpm.nums,VALUE(_xlfn.TEXTSPLIT(_xlpm.inside,",")),_xlpm.mapped,_xlfn.XLOOKUP(_xlpm.nums,$X$2:$X$100,$Y$2:$Y$100),SUBSTITUTE(_xlpm.txt,"["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"]")),F47)</f>
        <v>High presence of As, requires stabilisation [43]</v>
      </c>
      <c r="AF47" t="str" cm="1">
        <f t="array" ref="AF47">IFERROR(_xlfn.LET(_xlpm.txt,G47,_xlpm.inside,MID(_xlpm.txt,FIND("[",_xlpm.txt)+1,FIND("]",_xlpm.txt)-FIND("[",_xlpm.txt)-1),_xlpm.nums,VALUE(_xlfn.TEXTSPLIT(_xlpm.inside,",")),_xlpm.mapped,_xlfn.XLOOKUP(_xlpm.nums,$X$2:$X$100,$Y$2:$Y$100),SUBSTITUTE(_xlpm.txt,"["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"]")),G47)</f>
        <v>Recovery of AU and PGM is highly valuable and using thiosulfate or halide leaching processes is technically feasible [43]</v>
      </c>
      <c r="AG47" t="str" cm="1">
        <f t="array" ref="AG47">IFERROR(_xlfn.LET(_xlpm.txt,H47,_xlpm.inside,MID(_xlpm.txt,FIND("[",_xlpm.txt)+1,FIND("]",_xlpm.txt)-FIND("[",_xlpm.txt)-1),_xlpm.nums,VALUE(_xlfn.TEXTSPLIT(_xlpm.inside,",")),_xlpm.mapped,_xlfn.XLOOKUP(_xlpm.nums,$X$2:$X$100,$Y$2:$Y$100),SUBSTITUTE(_xlpm.txt,"["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"]")),H47)</f>
        <v>High–purity Au, PGM recovery, FE and S products [43]</v>
      </c>
      <c r="AH47" t="str" cm="1">
        <f t="array" ref="AH47">IFERROR(_xlfn.LET(_xlpm.txt,I47,_xlpm.inside,MID(_xlpm.txt,FIND("[",_xlpm.txt)+1,FIND("]",_xlpm.txt)-FIND("[",_xlpm.txt)-1),_xlpm.nums,VALUE(_xlfn.TEXTSPLIT(_xlpm.inside,",")),_xlpm.mapped,_xlfn.XLOOKUP(_xlpm.nums,$X$2:$X$100,$Y$2:$Y$100),SUBSTITUTE(_xlpm.txt,"["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"]")),I47)</f>
        <v>As [26]</v>
      </c>
      <c r="AI47" t="str" cm="1">
        <f t="array" ref="AI47">IFERROR(_xlfn.LET(_xlpm.txt,J47,_xlpm.inside,MID(_xlpm.txt,FIND("[",_xlpm.txt)+1,FIND("]",_xlpm.txt)-FIND("[",_xlpm.txt)-1),_xlpm.nums,VALUE(_xlfn.TEXTSPLIT(_xlpm.inside,",")),_xlpm.mapped,_xlfn.XLOOKUP(_xlpm.nums,$X$2:$X$100,$Y$2:$Y$100),SUBSTITUTE(_xlpm.txt,"["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"]")),J47)</f>
        <v>PGMs [26]</v>
      </c>
      <c r="AJ47" t="str" cm="1">
        <f t="array" ref="AJ47">IFERROR(_xlfn.LET(_xlpm.txt,K47,_xlpm.inside,MID(_xlpm.txt,FIND("[",_xlpm.txt)+1,FIND("]",_xlpm.txt)-FIND("[",_xlpm.txt)-1),_xlpm.nums,VALUE(_xlfn.TEXTSPLIT(_xlpm.inside,",")),_xlpm.mapped,_xlfn.XLOOKUP(_xlpm.nums,$X$2:$X$100,$Y$2:$Y$100),SUBSTITUTE(_xlpm.txt,"["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"]")),K47)</f>
        <v>Iron oxides
sulfates
residual Au
As [43]</v>
      </c>
      <c r="AK47" t="str" cm="1">
        <f t="array" ref="AK47">IFERROR(_xlfn.LET(_xlpm.txt,L47,_xlpm.inside,MID(_xlpm.txt,FIND("[",_xlpm.txt)+1,FIND("]",_xlpm.txt)-FIND("[",_xlpm.txt)-1),_xlpm.nums,VALUE(_xlfn.TEXTSPLIT(_xlpm.inside,",")),_xlpm.mapped,_xlfn.XLOOKUP(_xlpm.nums,$X$2:$X$100,$Y$2:$Y$100),SUBSTITUTE(_xlpm.txt,"["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"]")),L47)</f>
        <v>Hematite (Fe2​O3​)
Magnetite (Fe3​O4​)
Calcium sulfate [43]</v>
      </c>
      <c r="AL47" t="str" cm="1">
        <f t="array" ref="AL47">IFERROR(_xlfn.LET(_xlpm.txt,M47,_xlpm.inside,MID(_xlpm.txt,FIND("[",_xlpm.txt)+1,FIND("]",_xlpm.txt)-FIND("[",_xlpm.txt)-1),_xlpm.nums,VALUE(_xlfn.TEXTSPLIT(_xlpm.inside,",")),_xlpm.mapped,_xlfn.XLOOKUP(_xlpm.nums,$X$2:$X$100,$Y$2:$Y$100),SUBSTITUTE(_xlpm.txt,"["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"]")),M47)</f>
        <v>Fe, Au,Ca, As, O, S [43]</v>
      </c>
      <c r="AM47" t="str" cm="1">
        <f t="array" ref="AM47">IFERROR(_xlfn.LET(_xlpm.txt,N47,_xlpm.inside,MID(_xlpm.txt,FIND("[",_xlpm.txt)+1,FIND("]",_xlpm.txt)-FIND("[",_xlpm.txt)-1),_xlpm.nums,VALUE(_xlfn.TEXTSPLIT(_xlpm.inside,",")),_xlpm.mapped,_xlfn.XLOOKUP(_xlpm.nums,$X$2:$X$100,$Y$2:$Y$100),SUBSTITUTE(_xlpm.txt,"["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"]")),N47)</f>
        <v>Solid state: fine particulate powder from refractory ore treatment [43]</v>
      </c>
      <c r="AN47" t="str" cm="1">
        <f t="array" ref="AN47">IFERROR(_xlfn.LET(_xlpm.txt,O47,_xlpm.inside,MID(_xlpm.txt,FIND("[",_xlpm.txt)+1,FIND("]",_xlpm.txt)-FIND("[",_xlpm.txt)-1),_xlpm.nums,VALUE(_xlfn.TEXTSPLIT(_xlpm.inside,",")),_xlpm.mapped,_xlfn.XLOOKUP(_xlpm.nums,$X$2:$X$100,$Y$2:$Y$100),SUBSTITUTE(_xlpm.txt,"["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"]")),O47)</f>
        <v>Unavailable data</v>
      </c>
      <c r="AO47" t="str" cm="1">
        <f t="array" ref="AO47">IFERROR(_xlfn.LET(_xlpm.txt,P47,_xlpm.inside,MID(_xlpm.txt,FIND("[",_xlpm.txt)+1,FIND("]",_xlpm.txt)-FIND("[",_xlpm.txt)-1),_xlpm.nums,VALUE(_xlfn.TEXTSPLIT(_xlpm.inside,",")),_xlpm.mapped,_xlfn.XLOOKUP(_xlpm.nums,$X$2:$X$100,$Y$2:$Y$100),SUBSTITUTE(_xlpm.txt,"["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"]")),P47)</f>
        <v>Acidic: formed from pressure oxidation of refractory sulfides [43]</v>
      </c>
      <c r="AP47" t="str" cm="1">
        <f t="array" ref="AP47">IFERROR(_xlfn.LET(_xlpm.txt,Q47,_xlpm.inside,MID(_xlpm.txt,FIND("[",_xlpm.txt)+1,FIND("]",_xlpm.txt)-FIND("[",_xlpm.txt)-1),_xlpm.nums,VALUE(_xlfn.TEXTSPLIT(_xlpm.inside,",")),_xlpm.mapped,_xlfn.XLOOKUP(_xlpm.nums,$X$2:$X$100,$Y$2:$Y$100),SUBSTITUTE(_xlpm.txt,"["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"]")),Q47)</f>
        <v>Low: solid particulate powder prior to thermal treatment [43]</v>
      </c>
    </row>
    <row r="48" spans="1:42" ht="85" x14ac:dyDescent="0.2">
      <c r="A48" s="56" t="s">
        <v>238</v>
      </c>
      <c r="B48" s="27" t="s">
        <v>1549</v>
      </c>
      <c r="C48" s="27" t="s">
        <v>44</v>
      </c>
      <c r="D48" s="27" t="s">
        <v>1562</v>
      </c>
      <c r="E48" s="27" t="s">
        <v>1563</v>
      </c>
      <c r="F48" s="27" t="s">
        <v>1564</v>
      </c>
      <c r="G48" s="27" t="s">
        <v>1616</v>
      </c>
      <c r="H48" s="27" t="s">
        <v>1565</v>
      </c>
      <c r="I48" s="27" t="s">
        <v>237</v>
      </c>
      <c r="J48" s="27" t="s">
        <v>1566</v>
      </c>
      <c r="K48" s="27" t="s">
        <v>1567</v>
      </c>
      <c r="L48" s="27" t="s">
        <v>1568</v>
      </c>
      <c r="M48" s="27" t="s">
        <v>1569</v>
      </c>
      <c r="N48" s="27" t="s">
        <v>1570</v>
      </c>
      <c r="O48" s="27" t="s">
        <v>235</v>
      </c>
      <c r="P48" s="27" t="s">
        <v>1571</v>
      </c>
      <c r="Q48" s="27" t="s">
        <v>1572</v>
      </c>
      <c r="X48" s="36">
        <v>52</v>
      </c>
      <c r="Y48" s="63">
        <v>46</v>
      </c>
      <c r="AA48" t="str" cm="1">
        <f t="array" ref="AA48">IFERROR(_xlfn.LET(_xlpm.txt,B48,_xlpm.inside,MID(_xlpm.txt,FIND("[",_xlpm.txt)+1,FIND("]",_xlpm.txt)-FIND("[",_xlpm.txt)-1),_xlpm.nums,VALUE(_xlfn.TEXTSPLIT(_xlpm.inside,",")),_xlpm.mapped,_xlfn.XLOOKUP(_xlpm.nums,$X$2:$X$100,$Y$2:$Y$100),SUBSTITUTE(_xlpm.txt,"["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"]")),B48)</f>
        <v>Refractory ores, sperrylite (PtAs2) [50,46,26]</v>
      </c>
      <c r="AB48" t="str" cm="1">
        <f t="array" ref="AB48">IFERROR(_xlfn.LET(_xlpm.txt,C48,_xlpm.inside,MID(_xlpm.txt,FIND("[",_xlpm.txt)+1,FIND("]",_xlpm.txt)-FIND("[",_xlpm.txt)-1),_xlpm.nums,VALUE(_xlfn.TEXTSPLIT(_xlpm.inside,",")),_xlpm.mapped,_xlfn.XLOOKUP(_xlpm.nums,$X$2:$X$100,$Y$2:$Y$100),SUBSTITUTE(_xlpm.txt,"["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"]")),C48)</f>
        <v>PGM slags</v>
      </c>
      <c r="AC48" t="str" cm="1">
        <f t="array" ref="AC48">IFERROR(_xlfn.LET(_xlpm.txt,D48,_xlpm.inside,MID(_xlpm.txt,FIND("[",_xlpm.txt)+1,FIND("]",_xlpm.txt)-FIND("[",_xlpm.txt)-1),_xlpm.nums,VALUE(_xlfn.TEXTSPLIT(_xlpm.inside,",")),_xlpm.mapped,_xlfn.XLOOKUP(_xlpm.nums,$X$2:$X$100,$Y$2:$Y$100),SUBSTITUTE(_xlpm.txt,"["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"]")),D48)</f>
        <v>PGM smelting or converting [26]</v>
      </c>
      <c r="AD48" t="str" cm="1">
        <f t="array" ref="AD48">IFERROR(_xlfn.LET(_xlpm.txt,E48,_xlpm.inside,MID(_xlpm.txt,FIND("[",_xlpm.txt)+1,FIND("]",_xlpm.txt)-FIND("[",_xlpm.txt)-1),_xlpm.nums,VALUE(_xlfn.TEXTSPLIT(_xlpm.inside,",")),_xlpm.mapped,_xlfn.XLOOKUP(_xlpm.nums,$X$2:$X$100,$Y$2:$Y$100),SUBSTITUTE(_xlpm.txt,"["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"]")),E48)</f>
        <v>Collector smelting (Cu–matte) to capture PGMs [26]
Hydrometallurgical leaching for PGMs dissolution [21]</v>
      </c>
      <c r="AE48" t="str" cm="1">
        <f t="array" ref="AE48">IFERROR(_xlfn.LET(_xlpm.txt,F48,_xlpm.inside,MID(_xlpm.txt,FIND("[",_xlpm.txt)+1,FIND("]",_xlpm.txt)-FIND("[",_xlpm.txt)-1),_xlpm.nums,VALUE(_xlfn.TEXTSPLIT(_xlpm.inside,",")),_xlpm.mapped,_xlfn.XLOOKUP(_xlpm.nums,$X$2:$X$100,$Y$2:$Y$100),SUBSTITUTE(_xlpm.txt,"["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"]")),F48)</f>
        <v>Low– grade PGM with complex matrix [26,20]</v>
      </c>
      <c r="AF48" t="str" cm="1">
        <f t="array" ref="AF48">IFERROR(_xlfn.LET(_xlpm.txt,G48,_xlpm.inside,MID(_xlpm.txt,FIND("[",_xlpm.txt)+1,FIND("]",_xlpm.txt)-FIND("[",_xlpm.txt)-1),_xlpm.nums,VALUE(_xlfn.TEXTSPLIT(_xlpm.inside,",")),_xlpm.mapped,_xlfn.XLOOKUP(_xlpm.nums,$X$2:$X$100,$Y$2:$Y$100),SUBSTITUTE(_xlpm.txt,"["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"]")),G48)</f>
        <v>Recovery of PGMs is highliy valuable and contributes extremely to SRM market [26]</v>
      </c>
      <c r="AG48" t="str" cm="1">
        <f t="array" ref="AG48">IFERROR(_xlfn.LET(_xlpm.txt,H48,_xlpm.inside,MID(_xlpm.txt,FIND("[",_xlpm.txt)+1,FIND("]",_xlpm.txt)-FIND("[",_xlpm.txt)-1),_xlpm.nums,VALUE(_xlfn.TEXTSPLIT(_xlpm.inside,",")),_xlpm.mapped,_xlfn.XLOOKUP(_xlpm.nums,$X$2:$X$100,$Y$2:$Y$100),SUBSTITUTE(_xlpm.txt,"["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"]")),H48)</f>
        <v>Refined Pd or Pt or Rh concentrates, aggregates [26]</v>
      </c>
      <c r="AH48" t="str" cm="1">
        <f t="array" ref="AH48">IFERROR(_xlfn.LET(_xlpm.txt,I48,_xlpm.inside,MID(_xlpm.txt,FIND("[",_xlpm.txt)+1,FIND("]",_xlpm.txt)-FIND("[",_xlpm.txt)-1),_xlpm.nums,VALUE(_xlfn.TEXTSPLIT(_xlpm.inside,",")),_xlpm.mapped,_xlfn.XLOOKUP(_xlpm.nums,$X$2:$X$100,$Y$2:$Y$100),SUBSTITUTE(_xlpm.txt,"["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"]")),I48)</f>
        <v>Not applicable</v>
      </c>
      <c r="AI48" t="str" cm="1">
        <f t="array" ref="AI48">IFERROR(_xlfn.LET(_xlpm.txt,J48,_xlpm.inside,MID(_xlpm.txt,FIND("[",_xlpm.txt)+1,FIND("]",_xlpm.txt)-FIND("[",_xlpm.txt)-1),_xlpm.nums,VALUE(_xlfn.TEXTSPLIT(_xlpm.inside,",")),_xlpm.mapped,_xlfn.XLOOKUP(_xlpm.nums,$X$2:$X$100,$Y$2:$Y$100),SUBSTITUTE(_xlpm.txt,"["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"]")),J48)</f>
        <v>PGMs, Mg metal [26]</v>
      </c>
      <c r="AJ48" t="str" cm="1">
        <f t="array" ref="AJ48">IFERROR(_xlfn.LET(_xlpm.txt,K48,_xlpm.inside,MID(_xlpm.txt,FIND("[",_xlpm.txt)+1,FIND("]",_xlpm.txt)-FIND("[",_xlpm.txt)-1),_xlpm.nums,VALUE(_xlfn.TEXTSPLIT(_xlpm.inside,",")),_xlpm.mapped,_xlfn.XLOOKUP(_xlpm.nums,$X$2:$X$100,$Y$2:$Y$100),SUBSTITUTE(_xlpm.txt,"["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"]")),K48)</f>
        <v>Al2O3
SiO2
MgO
CaO
PGMs – Pt, Pd, Rh (traces) [26]</v>
      </c>
      <c r="AK48" t="str" cm="1">
        <f t="array" ref="AK48">IFERROR(_xlfn.LET(_xlpm.txt,L48,_xlpm.inside,MID(_xlpm.txt,FIND("[",_xlpm.txt)+1,FIND("]",_xlpm.txt)-FIND("[",_xlpm.txt)-1),_xlpm.nums,VALUE(_xlfn.TEXTSPLIT(_xlpm.inside,",")),_xlpm.mapped,_xlfn.XLOOKUP(_xlpm.nums,$X$2:$X$100,$Y$2:$Y$100),SUBSTITUTE(_xlpm.txt,"["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"]")),L48)</f>
        <v>Cordierite (Mg2​Al4​Si5​O18​)
Spinel
Mullite
Glassy phase [26]</v>
      </c>
      <c r="AL48" t="str" cm="1">
        <f t="array" ref="AL48">IFERROR(_xlfn.LET(_xlpm.txt,M48,_xlpm.inside,MID(_xlpm.txt,FIND("[",_xlpm.txt)+1,FIND("]",_xlpm.txt)-FIND("[",_xlpm.txt)-1),_xlpm.nums,VALUE(_xlfn.TEXTSPLIT(_xlpm.inside,",")),_xlpm.mapped,_xlfn.XLOOKUP(_xlpm.nums,$X$2:$X$100,$Y$2:$Y$100),SUBSTITUTE(_xlpm.txt,"["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"]")),M48)</f>
        <v>Al, Si, Mg, Ca, O, Pt, Pd, Rh, Zr, Ce, Fe, Ti, Cr, P, S, Na, Ba [26]</v>
      </c>
      <c r="AM48" t="str" cm="1">
        <f t="array" ref="AM48">IFERROR(_xlfn.LET(_xlpm.txt,N48,_xlpm.inside,MID(_xlpm.txt,FIND("[",_xlpm.txt)+1,FIND("]",_xlpm.txt)-FIND("[",_xlpm.txt)-1),_xlpm.nums,VALUE(_xlfn.TEXTSPLIT(_xlpm.inside,",")),_xlpm.mapped,_xlfn.XLOOKUP(_xlpm.nums,$X$2:$X$100,$Y$2:$Y$100),SUBSTITUTE(_xlpm.txt,"["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"]")),N48)</f>
        <v>Solid state: typically vitrified or glass slag containing trapped metals [26]</v>
      </c>
      <c r="AN48" t="str" cm="1">
        <f t="array" ref="AN48">IFERROR(_xlfn.LET(_xlpm.txt,O48,_xlpm.inside,MID(_xlpm.txt,FIND("[",_xlpm.txt)+1,FIND("]",_xlpm.txt)-FIND("[",_xlpm.txt)-1),_xlpm.nums,VALUE(_xlfn.TEXTSPLIT(_xlpm.inside,",")),_xlpm.mapped,_xlfn.XLOOKUP(_xlpm.nums,$X$2:$X$100,$Y$2:$Y$100),SUBSTITUTE(_xlpm.txt,"["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"]")),O48)</f>
        <v>Unavailable data</v>
      </c>
      <c r="AO48" t="str" cm="1">
        <f t="array" ref="AO48">IFERROR(_xlfn.LET(_xlpm.txt,P48,_xlpm.inside,MID(_xlpm.txt,FIND("[",_xlpm.txt)+1,FIND("]",_xlpm.txt)-FIND("[",_xlpm.txt)-1),_xlpm.nums,VALUE(_xlfn.TEXTSPLIT(_xlpm.inside,",")),_xlpm.mapped,_xlfn.XLOOKUP(_xlpm.nums,$X$2:$X$100,$Y$2:$Y$100),SUBSTITUTE(_xlpm.txt,"["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"]")),P48)</f>
        <v>Alkaline: vitrified silicates or ceramics–based slag [26]</v>
      </c>
      <c r="AP48" t="str" cm="1">
        <f t="array" ref="AP48">IFERROR(_xlfn.LET(_xlpm.txt,Q48,_xlpm.inside,MID(_xlpm.txt,FIND("[",_xlpm.txt)+1,FIND("]",_xlpm.txt)-FIND("[",_xlpm.txt)-1),_xlpm.nums,VALUE(_xlfn.TEXTSPLIT(_xlpm.inside,",")),_xlpm.mapped,_xlfn.XLOOKUP(_xlpm.nums,$X$2:$X$100,$Y$2:$Y$100),SUBSTITUTE(_xlpm.txt,"["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"]")),Q48)</f>
        <v>Low: vitrified or ceramic–based solid slag [26]</v>
      </c>
    </row>
    <row r="49" spans="1:42" ht="136" x14ac:dyDescent="0.2">
      <c r="A49" s="26" t="s">
        <v>45</v>
      </c>
      <c r="B49" s="27" t="s">
        <v>1573</v>
      </c>
      <c r="C49" s="27" t="s">
        <v>928</v>
      </c>
      <c r="D49" s="27" t="s">
        <v>1574</v>
      </c>
      <c r="E49" s="27" t="s">
        <v>1575</v>
      </c>
      <c r="F49" s="27" t="s">
        <v>1576</v>
      </c>
      <c r="G49" s="27" t="s">
        <v>1659</v>
      </c>
      <c r="H49" s="27" t="s">
        <v>1577</v>
      </c>
      <c r="I49" s="27" t="s">
        <v>1578</v>
      </c>
      <c r="J49" s="27" t="s">
        <v>1579</v>
      </c>
      <c r="K49" s="27" t="s">
        <v>1580</v>
      </c>
      <c r="L49" s="27" t="s">
        <v>1581</v>
      </c>
      <c r="M49" s="27" t="s">
        <v>1582</v>
      </c>
      <c r="N49" s="27" t="s">
        <v>1583</v>
      </c>
      <c r="O49" s="27" t="s">
        <v>1584</v>
      </c>
      <c r="P49" s="27" t="s">
        <v>1585</v>
      </c>
      <c r="Q49" s="27" t="s">
        <v>1586</v>
      </c>
      <c r="X49" s="36">
        <v>53</v>
      </c>
      <c r="Y49" s="64">
        <v>30</v>
      </c>
      <c r="AA49" t="str" cm="1">
        <f t="array" ref="AA49">IFERROR(_xlfn.LET(_xlpm.txt,B49,_xlpm.inside,MID(_xlpm.txt,FIND("[",_xlpm.txt)+1,FIND("]",_xlpm.txt)-FIND("[",_xlpm.txt)-1),_xlpm.nums,VALUE(_xlfn.TEXTSPLIT(_xlpm.inside,",")),_xlpm.mapped,_xlfn.XLOOKUP(_xlpm.nums,$X$2:$X$100,$Y$2:$Y$100),SUBSTITUTE(_xlpm.txt,"["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"]")),B49)</f>
        <v>Argentite (Ag2S), by–products of PborZnorCu [9,50]</v>
      </c>
      <c r="AB49" t="str" cm="1">
        <f t="array" ref="AB49">IFERROR(_xlfn.LET(_xlpm.txt,C49,_xlpm.inside,MID(_xlpm.txt,FIND("[",_xlpm.txt)+1,FIND("]",_xlpm.txt)-FIND("[",_xlpm.txt)-1),_xlpm.nums,VALUE(_xlfn.TEXTSPLIT(_xlpm.inside,",")),_xlpm.mapped,_xlfn.XLOOKUP(_xlpm.nums,$X$2:$X$100,$Y$2:$Y$100),SUBSTITUTE(_xlpm.txt,"["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"]")),C49)</f>
        <v>Silver anode mud or slimes</v>
      </c>
      <c r="AC49" t="str" cm="1">
        <f t="array" ref="AC49">IFERROR(_xlfn.LET(_xlpm.txt,D49,_xlpm.inside,MID(_xlpm.txt,FIND("[",_xlpm.txt)+1,FIND("]",_xlpm.txt)-FIND("[",_xlpm.txt)-1),_xlpm.nums,VALUE(_xlfn.TEXTSPLIT(_xlpm.inside,",")),_xlpm.mapped,_xlfn.XLOOKUP(_xlpm.nums,$X$2:$X$100,$Y$2:$Y$100),SUBSTITUTE(_xlpm.txt,"["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"]")),D49)</f>
        <v>Silver or lead electrorefining [50,9]</v>
      </c>
      <c r="AD49" t="str" cm="1">
        <f t="array" ref="AD49">IFERROR(_xlfn.LET(_xlpm.txt,E49,_xlpm.inside,MID(_xlpm.txt,FIND("[",_xlpm.txt)+1,FIND("]",_xlpm.txt)-FIND("[",_xlpm.txt)-1),_xlpm.nums,VALUE(_xlfn.TEXTSPLIT(_xlpm.inside,",")),_xlpm.mapped,_xlfn.XLOOKUP(_xlpm.nums,$X$2:$X$100,$Y$2:$Y$100),SUBSTITUTE(_xlpm.txt,"["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"]")),E49)</f>
        <v>Oxidation roasting to break Se or Te compounds [19]
Sequential leaching to extract Ag, Au, Se, Te [6]
Electrorefining to produce high–purity Ag or Au metals [19]</v>
      </c>
      <c r="AE49" t="str" cm="1">
        <f t="array" ref="AE49">IFERROR(_xlfn.LET(_xlpm.txt,F49,_xlpm.inside,MID(_xlpm.txt,FIND("[",_xlpm.txt)+1,FIND("]",_xlpm.txt)-FIND("[",_xlpm.txt)-1),_xlpm.nums,VALUE(_xlfn.TEXTSPLIT(_xlpm.inside,",")),_xlpm.mapped,_xlfn.XLOOKUP(_xlpm.nums,$X$2:$X$100,$Y$2:$Y$100),SUBSTITUTE(_xlpm.txt,"["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"]")),F49)</f>
        <v>Complex metal matrix, complexity is further added due to Se recovery [50,9]</v>
      </c>
      <c r="AF49" t="str" cm="1">
        <f t="array" ref="AF49">IFERROR(_xlfn.LET(_xlpm.txt,G49,_xlpm.inside,MID(_xlpm.txt,FIND("[",_xlpm.txt)+1,FIND("]",_xlpm.txt)-FIND("[",_xlpm.txt)-1),_xlpm.nums,VALUE(_xlfn.TEXTSPLIT(_xlpm.inside,",")),_xlpm.mapped,_xlfn.XLOOKUP(_xlpm.nums,$X$2:$X$100,$Y$2:$Y$100),SUBSTITUTE(_xlpm.txt,"["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"]")),G49)</f>
        <v>Recovery of Au and Ag metals in high-purity state is primary byproduct [19]</v>
      </c>
      <c r="AG49" t="str" cm="1">
        <f t="array" ref="AG49">IFERROR(_xlfn.LET(_xlpm.txt,H49,_xlpm.inside,MID(_xlpm.txt,FIND("[",_xlpm.txt)+1,FIND("]",_xlpm.txt)-FIND("[",_xlpm.txt)-1),_xlpm.nums,VALUE(_xlfn.TEXTSPLIT(_xlpm.inside,",")),_xlpm.mapped,_xlfn.XLOOKUP(_xlpm.nums,$X$2:$X$100,$Y$2:$Y$100),SUBSTITUTE(_xlpm.txt,"["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"]")),H49)</f>
        <v>Electro–Au, refined Ag powder, PGM concentrates [50,9]</v>
      </c>
      <c r="AH49" t="str" cm="1">
        <f t="array" ref="AH49">IFERROR(_xlfn.LET(_xlpm.txt,I49,_xlpm.inside,MID(_xlpm.txt,FIND("[",_xlpm.txt)+1,FIND("]",_xlpm.txt)-FIND("[",_xlpm.txt)-1),_xlpm.nums,VALUE(_xlfn.TEXTSPLIT(_xlpm.inside,",")),_xlpm.mapped,_xlfn.XLOOKUP(_xlpm.nums,$X$2:$X$100,$Y$2:$Y$100),SUBSTITUTE(_xlpm.txt,"["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"]")),I49)</f>
        <v>As, Sb [19]</v>
      </c>
      <c r="AI49" t="str" cm="1">
        <f t="array" ref="AI49">IFERROR(_xlfn.LET(_xlpm.txt,J49,_xlpm.inside,MID(_xlpm.txt,FIND("[",_xlpm.txt)+1,FIND("]",_xlpm.txt)-FIND("[",_xlpm.txt)-1),_xlpm.nums,VALUE(_xlfn.TEXTSPLIT(_xlpm.inside,",")),_xlpm.mapped,_xlfn.XLOOKUP(_xlpm.nums,$X$2:$X$100,$Y$2:$Y$100),SUBSTITUTE(_xlpm.txt,"["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"]")),J49)</f>
        <v>PGMs [19]</v>
      </c>
      <c r="AJ49" t="str" cm="1">
        <f t="array" ref="AJ49">IFERROR(_xlfn.LET(_xlpm.txt,K49,_xlpm.inside,MID(_xlpm.txt,FIND("[",_xlpm.txt)+1,FIND("]",_xlpm.txt)-FIND("[",_xlpm.txt)-1),_xlpm.nums,VALUE(_xlfn.TEXTSPLIT(_xlpm.inside,",")),_xlpm.mapped,_xlfn.XLOOKUP(_xlpm.nums,$X$2:$X$100,$Y$2:$Y$100),SUBSTITUTE(_xlpm.txt,"["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"]")),K49)</f>
        <v>Ag (up to 12.8 wt%)
Au
Pt
Pd
Pb
Sb
As
Cu [19]</v>
      </c>
      <c r="AK49" t="str" cm="1">
        <f t="array" ref="AK49">IFERROR(_xlfn.LET(_xlpm.txt,L49,_xlpm.inside,MID(_xlpm.txt,FIND("[",_xlpm.txt)+1,FIND("]",_xlpm.txt)-FIND("[",_xlpm.txt)-1),_xlpm.nums,VALUE(_xlfn.TEXTSPLIT(_xlpm.inside,",")),_xlpm.mapped,_xlfn.XLOOKUP(_xlpm.nums,$X$2:$X$100,$Y$2:$Y$100),SUBSTITUTE(_xlpm.txt,"["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"]")),L49)</f>
        <v>Metallic silver (Ag)
Ag3Sn [19]</v>
      </c>
      <c r="AL49" t="str" cm="1">
        <f t="array" ref="AL49">IFERROR(_xlfn.LET(_xlpm.txt,M49,_xlpm.inside,MID(_xlpm.txt,FIND("[",_xlpm.txt)+1,FIND("]",_xlpm.txt)-FIND("[",_xlpm.txt)-1),_xlpm.nums,VALUE(_xlfn.TEXTSPLIT(_xlpm.inside,",")),_xlpm.mapped,_xlfn.XLOOKUP(_xlpm.nums,$X$2:$X$100,$Y$2:$Y$100),SUBSTITUTE(_xlpm.txt,"["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"]")),M49)</f>
        <v>Ag, Au, Pt, Pd, Pb, Sb, As, Cu, Zn, Si, O, S, Sn, Bi, Se, Te [19]</v>
      </c>
      <c r="AM49" t="str" cm="1">
        <f t="array" ref="AM49">IFERROR(_xlfn.LET(_xlpm.txt,N49,_xlpm.inside,MID(_xlpm.txt,FIND("[",_xlpm.txt)+1,FIND("]",_xlpm.txt)-FIND("[",_xlpm.txt)-1),_xlpm.nums,VALUE(_xlfn.TEXTSPLIT(_xlpm.inside,",")),_xlpm.mapped,_xlfn.XLOOKUP(_xlpm.nums,$X$2:$X$100,$Y$2:$Y$100),SUBSTITUTE(_xlpm.txt,"["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"]")),N49)</f>
        <v>Wet solid or slime state: concentrated residue from electrolytic residue [19]</v>
      </c>
      <c r="AN49" t="str" cm="1">
        <f t="array" ref="AN49">IFERROR(_xlfn.LET(_xlpm.txt,O49,_xlpm.inside,MID(_xlpm.txt,FIND("[",_xlpm.txt)+1,FIND("]",_xlpm.txt)-FIND("[",_xlpm.txt)-1),_xlpm.nums,VALUE(_xlfn.TEXTSPLIT(_xlpm.inside,",")),_xlpm.mapped,_xlfn.XLOOKUP(_xlpm.nums,$X$2:$X$100,$Y$2:$Y$100),SUBSTITUTE(_xlpm.txt,"["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"]")),O49)</f>
        <v>37.9 kg of Ag/1000 kg of anode slime treated [30]</v>
      </c>
      <c r="AO49" t="str" cm="1">
        <f t="array" ref="AO49">IFERROR(_xlfn.LET(_xlpm.txt,P49,_xlpm.inside,MID(_xlpm.txt,FIND("[",_xlpm.txt)+1,FIND("]",_xlpm.txt)-FIND("[",_xlpm.txt)-1),_xlpm.nums,VALUE(_xlfn.TEXTSPLIT(_xlpm.inside,",")),_xlpm.mapped,_xlfn.XLOOKUP(_xlpm.nums,$X$2:$X$100,$Y$2:$Y$100),SUBSTITUTE(_xlpm.txt,"["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"]")),P49)</f>
        <v>Acidic: derived from sulfate or nitrate refining process [19]</v>
      </c>
      <c r="AP49" t="str" cm="1">
        <f t="array" ref="AP49">IFERROR(_xlfn.LET(_xlpm.txt,Q49,_xlpm.inside,MID(_xlpm.txt,FIND("[",_xlpm.txt)+1,FIND("]",_xlpm.txt)-FIND("[",_xlpm.txt)-1),_xlpm.nums,VALUE(_xlfn.TEXTSPLIT(_xlpm.inside,",")),_xlpm.mapped,_xlfn.XLOOKUP(_xlpm.nums,$X$2:$X$100,$Y$2:$Y$100),SUBSTITUTE(_xlpm.txt,"["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"]")),Q49)</f>
        <v>High: wet slime collected from electrolytic tanks [19]</v>
      </c>
    </row>
    <row r="50" spans="1:42" ht="102" x14ac:dyDescent="0.2">
      <c r="A50" s="54" t="s">
        <v>317</v>
      </c>
      <c r="B50" s="28" t="s">
        <v>1587</v>
      </c>
      <c r="C50" s="28" t="s">
        <v>46</v>
      </c>
      <c r="D50" s="28" t="s">
        <v>1588</v>
      </c>
      <c r="E50" s="28" t="s">
        <v>1589</v>
      </c>
      <c r="F50" s="28" t="s">
        <v>1590</v>
      </c>
      <c r="G50" s="28" t="s">
        <v>1615</v>
      </c>
      <c r="H50" s="28" t="s">
        <v>1591</v>
      </c>
      <c r="I50" s="28" t="s">
        <v>300</v>
      </c>
      <c r="J50" s="28" t="s">
        <v>301</v>
      </c>
      <c r="K50" s="28" t="s">
        <v>1592</v>
      </c>
      <c r="L50" s="28" t="s">
        <v>1593</v>
      </c>
      <c r="M50" s="28" t="s">
        <v>1594</v>
      </c>
      <c r="N50" s="28" t="s">
        <v>1595</v>
      </c>
      <c r="O50" s="28" t="s">
        <v>235</v>
      </c>
      <c r="P50" s="28" t="s">
        <v>1596</v>
      </c>
      <c r="Q50" s="28" t="s">
        <v>1597</v>
      </c>
      <c r="X50" s="36">
        <v>54</v>
      </c>
      <c r="Y50" s="63">
        <v>45</v>
      </c>
      <c r="AA50" t="str" cm="1">
        <f t="array" ref="AA50">IFERROR(_xlfn.LET(_xlpm.txt,B50,_xlpm.inside,MID(_xlpm.txt,FIND("[",_xlpm.txt)+1,FIND("]",_xlpm.txt)-FIND("[",_xlpm.txt)-1),_xlpm.nums,VALUE(_xlfn.TEXTSPLIT(_xlpm.inside,",")),_xlpm.mapped,_xlfn.XLOOKUP(_xlpm.nums,$X$2:$X$100,$Y$2:$Y$100),SUBSTITUTE(_xlpm.txt,"["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"]")),B50)</f>
        <v>Sulfide ores (i.e., chalcopyrites, galena, sphalerite) [47,51]</v>
      </c>
      <c r="AB50" t="str" cm="1">
        <f t="array" ref="AB50">IFERROR(_xlfn.LET(_xlpm.txt,C50,_xlpm.inside,MID(_xlpm.txt,FIND("[",_xlpm.txt)+1,FIND("]",_xlpm.txt)-FIND("[",_xlpm.txt)-1),_xlpm.nums,VALUE(_xlfn.TEXTSPLIT(_xlpm.inside,",")),_xlpm.mapped,_xlfn.XLOOKUP(_xlpm.nums,$X$2:$X$100,$Y$2:$Y$100),SUBSTITUTE(_xlpm.txt,"["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"]")),C50)</f>
        <v>Acid plant gypsum</v>
      </c>
      <c r="AC50" t="str" cm="1">
        <f t="array" ref="AC50">IFERROR(_xlfn.LET(_xlpm.txt,D50,_xlpm.inside,MID(_xlpm.txt,FIND("[",_xlpm.txt)+1,FIND("]",_xlpm.txt)-FIND("[",_xlpm.txt)-1),_xlpm.nums,VALUE(_xlfn.TEXTSPLIT(_xlpm.inside,",")),_xlpm.mapped,_xlfn.XLOOKUP(_xlpm.nums,$X$2:$X$100,$Y$2:$Y$100),SUBSTITUTE(_xlpm.txt,"["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"]")),D50)</f>
        <v>Smelter off–gas in H2SO4 plant resulting in gypsum [30,36]</v>
      </c>
      <c r="AD50" t="str" cm="1">
        <f t="array" ref="AD50">IFERROR(_xlfn.LET(_xlpm.txt,E50,_xlpm.inside,MID(_xlpm.txt,FIND("[",_xlpm.txt)+1,FIND("]",_xlpm.txt)-FIND("[",_xlpm.txt)-1),_xlpm.nums,VALUE(_xlfn.TEXTSPLIT(_xlpm.inside,",")),_xlpm.mapped,_xlfn.XLOOKUP(_xlpm.nums,$X$2:$X$100,$Y$2:$Y$100),SUBSTITUTE(_xlpm.txt,"["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"]")),E50)</f>
        <v>Washing and removing of  impurities for reduction in halides or metals present [30]
Solidification to improve mechanical or geo–environmental performance [30]</v>
      </c>
      <c r="AE50" t="str" cm="1">
        <f t="array" ref="AE50">IFERROR(_xlfn.LET(_xlpm.txt,F50,_xlpm.inside,MID(_xlpm.txt,FIND("[",_xlpm.txt)+1,FIND("]",_xlpm.txt)-FIND("[",_xlpm.txt)-1),_xlpm.nums,VALUE(_xlfn.TEXTSPLIT(_xlpm.inside,",")),_xlpm.mapped,_xlfn.XLOOKUP(_xlpm.nums,$X$2:$X$100,$Y$2:$Y$100),SUBSTITUTE(_xlpm.txt,"["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"]")),F50)</f>
        <v>Impurities (Cl or F or heavy metals) affect reuse quality [35]</v>
      </c>
      <c r="AF50" t="str" cm="1">
        <f t="array" ref="AF50">IFERROR(_xlfn.LET(_xlpm.txt,G50,_xlpm.inside,MID(_xlpm.txt,FIND("[",_xlpm.txt)+1,FIND("]",_xlpm.txt)-FIND("[",_xlpm.txt)-1),_xlpm.nums,VALUE(_xlfn.TEXTSPLIT(_xlpm.inside,",")),_xlpm.mapped,_xlfn.XLOOKUP(_xlpm.nums,$X$2:$X$100,$Y$2:$Y$100),SUBSTITUTE(_xlpm.txt,"["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"]")),G50)</f>
        <v>Utilised for low-cost construction feedstock for backfill materials and cement manufacturing [45]</v>
      </c>
      <c r="AG50" t="str" cm="1">
        <f t="array" ref="AG50">IFERROR(_xlfn.LET(_xlpm.txt,H50,_xlpm.inside,MID(_xlpm.txt,FIND("[",_xlpm.txt)+1,FIND("]",_xlpm.txt)-FIND("[",_xlpm.txt)-1),_xlpm.nums,VALUE(_xlfn.TEXTSPLIT(_xlpm.inside,",")),_xlpm.mapped,_xlfn.XLOOKUP(_xlpm.nums,$X$2:$X$100,$Y$2:$Y$100),SUBSTITUTE(_xlpm.txt,"["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"]")),H50)</f>
        <v>Wallboard, cement clinker, backfill material [36,35]</v>
      </c>
      <c r="AH50" t="str" cm="1">
        <f t="array" ref="AH50">IFERROR(_xlfn.LET(_xlpm.txt,I50,_xlpm.inside,MID(_xlpm.txt,FIND("[",_xlpm.txt)+1,FIND("]",_xlpm.txt)-FIND("[",_xlpm.txt)-1),_xlpm.nums,VALUE(_xlfn.TEXTSPLIT(_xlpm.inside,",")),_xlpm.mapped,_xlfn.XLOOKUP(_xlpm.nums,$X$2:$X$100,$Y$2:$Y$100),SUBSTITUTE(_xlpm.txt,"["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"]")),I50)</f>
        <v>As, 53</v>
      </c>
      <c r="AI50" t="str" cm="1">
        <f t="array" ref="AI50">IFERROR(_xlfn.LET(_xlpm.txt,J50,_xlpm.inside,MID(_xlpm.txt,FIND("[",_xlpm.txt)+1,FIND("]",_xlpm.txt)-FIND("[",_xlpm.txt)-1),_xlpm.nums,VALUE(_xlfn.TEXTSPLIT(_xlpm.inside,",")),_xlpm.mapped,_xlfn.XLOOKUP(_xlpm.nums,$X$2:$X$100,$Y$2:$Y$100),SUBSTITUTE(_xlpm.txt,"["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"]")),J50)</f>
        <v>Cu, 53</v>
      </c>
      <c r="AJ50" t="str" cm="1">
        <f t="array" ref="AJ50">IFERROR(_xlfn.LET(_xlpm.txt,K50,_xlpm.inside,MID(_xlpm.txt,FIND("[",_xlpm.txt)+1,FIND("]",_xlpm.txt)-FIND("[",_xlpm.txt)-1),_xlpm.nums,VALUE(_xlfn.TEXTSPLIT(_xlpm.inside,",")),_xlpm.mapped,_xlfn.XLOOKUP(_xlpm.nums,$X$2:$X$100,$Y$2:$Y$100),SUBSTITUTE(_xlpm.txt,"["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"]")),K50)</f>
        <v>CaSO4.2HO
F
S
heavy metal (traces) [45]</v>
      </c>
      <c r="AK50" t="str" cm="1">
        <f t="array" ref="AK50">IFERROR(_xlfn.LET(_xlpm.txt,L50,_xlpm.inside,MID(_xlpm.txt,FIND("[",_xlpm.txt)+1,FIND("]",_xlpm.txt)-FIND("[",_xlpm.txt)-1),_xlpm.nums,VALUE(_xlfn.TEXTSPLIT(_xlpm.inside,",")),_xlpm.mapped,_xlfn.XLOOKUP(_xlpm.nums,$X$2:$X$100,$Y$2:$Y$100),SUBSTITUTE(_xlpm.txt,"["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"]")),L50)</f>
        <v>Gypsum (CaSO4​⋅2H2​O)
Bassanite (CaSO4​⋅0.5H2​O)
Anhydrite [45]</v>
      </c>
      <c r="AL50" t="str" cm="1">
        <f t="array" ref="AL50">IFERROR(_xlfn.LET(_xlpm.txt,M50,_xlpm.inside,MID(_xlpm.txt,FIND("[",_xlpm.txt)+1,FIND("]",_xlpm.txt)-FIND("[",_xlpm.txt)-1),_xlpm.nums,VALUE(_xlfn.TEXTSPLIT(_xlpm.inside,",")),_xlpm.mapped,_xlfn.XLOOKUP(_xlpm.nums,$X$2:$X$100,$Y$2:$Y$100),SUBSTITUTE(_xlpm.txt,"["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"]")),M50)</f>
        <v>Ca, S, O, H, F, Pb, Cl, Al, Fe, Mg, Si [45]</v>
      </c>
      <c r="AM50" t="str" cm="1">
        <f t="array" ref="AM50">IFERROR(_xlfn.LET(_xlpm.txt,N50,_xlpm.inside,MID(_xlpm.txt,FIND("[",_xlpm.txt)+1,FIND("]",_xlpm.txt)-FIND("[",_xlpm.txt)-1),_xlpm.nums,VALUE(_xlfn.TEXTSPLIT(_xlpm.inside,",")),_xlpm.mapped,_xlfn.XLOOKUP(_xlpm.nums,$X$2:$X$100,$Y$2:$Y$100),SUBSTITUTE(_xlpm.txt,"["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"]")),N50)</f>
        <v>Solid state: crystalline particulate from smelter gas treatment [35]</v>
      </c>
      <c r="AN50" t="str" cm="1">
        <f t="array" ref="AN50">IFERROR(_xlfn.LET(_xlpm.txt,O50,_xlpm.inside,MID(_xlpm.txt,FIND("[",_xlpm.txt)+1,FIND("]",_xlpm.txt)-FIND("[",_xlpm.txt)-1),_xlpm.nums,VALUE(_xlfn.TEXTSPLIT(_xlpm.inside,",")),_xlpm.mapped,_xlfn.XLOOKUP(_xlpm.nums,$X$2:$X$100,$Y$2:$Y$100),SUBSTITUTE(_xlpm.txt,"["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"]")),O50)</f>
        <v>Unavailable data</v>
      </c>
      <c r="AO50" t="str" cm="1">
        <f t="array" ref="AO50">IFERROR(_xlfn.LET(_xlpm.txt,P50,_xlpm.inside,MID(_xlpm.txt,FIND("[",_xlpm.txt)+1,FIND("]",_xlpm.txt)-FIND("[",_xlpm.txt)-1),_xlpm.nums,VALUE(_xlfn.TEXTSPLIT(_xlpm.inside,",")),_xlpm.mapped,_xlfn.XLOOKUP(_xlpm.nums,$X$2:$X$100,$Y$2:$Y$100),SUBSTITUTE(_xlpm.txt,"["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"]")),P50)</f>
        <v>Acidic: sulfide gas treatment byproduct) [35]</v>
      </c>
      <c r="AP50" t="str" cm="1">
        <f t="array" ref="AP50">IFERROR(_xlfn.LET(_xlpm.txt,Q50,_xlpm.inside,MID(_xlpm.txt,FIND("[",_xlpm.txt)+1,FIND("]",_xlpm.txt)-FIND("[",_xlpm.txt)-1),_xlpm.nums,VALUE(_xlfn.TEXTSPLIT(_xlpm.inside,",")),_xlpm.mapped,_xlfn.XLOOKUP(_xlpm.nums,$X$2:$X$100,$Y$2:$Y$100),SUBSTITUTE(_xlpm.txt,"["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"]")),Q50)</f>
        <v>Low: crystalline dry particulate after industrial drying process [35]</v>
      </c>
    </row>
    <row r="51" spans="1:42" ht="120" thickBot="1" x14ac:dyDescent="0.25">
      <c r="A51" s="54" t="s">
        <v>239</v>
      </c>
      <c r="B51" s="30" t="s">
        <v>1598</v>
      </c>
      <c r="C51" s="30" t="s">
        <v>47</v>
      </c>
      <c r="D51" s="30" t="s">
        <v>1599</v>
      </c>
      <c r="E51" s="30" t="s">
        <v>1600</v>
      </c>
      <c r="F51" s="30" t="s">
        <v>1601</v>
      </c>
      <c r="G51" s="30" t="s">
        <v>1614</v>
      </c>
      <c r="H51" s="30" t="s">
        <v>1602</v>
      </c>
      <c r="I51" s="30" t="s">
        <v>1603</v>
      </c>
      <c r="J51" s="30" t="s">
        <v>1604</v>
      </c>
      <c r="K51" s="30" t="s">
        <v>1605</v>
      </c>
      <c r="L51" s="30" t="s">
        <v>1606</v>
      </c>
      <c r="M51" s="30" t="s">
        <v>1607</v>
      </c>
      <c r="N51" s="30" t="s">
        <v>1608</v>
      </c>
      <c r="O51" s="30" t="s">
        <v>1609</v>
      </c>
      <c r="P51" s="30" t="s">
        <v>1610</v>
      </c>
      <c r="Q51" s="30" t="s">
        <v>1611</v>
      </c>
      <c r="X51" s="42">
        <v>57</v>
      </c>
      <c r="Y51" s="39">
        <v>15</v>
      </c>
      <c r="AA51" t="str" cm="1">
        <f t="array" ref="AA51">IFERROR(_xlfn.LET(_xlpm.txt,B51,_xlpm.inside,MID(_xlpm.txt,FIND("[",_xlpm.txt)+1,FIND("]",_xlpm.txt)-FIND("[",_xlpm.txt)-1),_xlpm.nums,VALUE(_xlfn.TEXTSPLIT(_xlpm.inside,",")),_xlpm.mapped,_xlfn.XLOOKUP(_xlpm.nums,$X$2:$X$100,$Y$2:$Y$100),SUBSTITUTE(_xlpm.txt,"["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"]")),B51)</f>
        <v>SCR emission control, petroleum refining [26,19,48]</v>
      </c>
      <c r="AB51" t="str" cm="1">
        <f t="array" ref="AB51">IFERROR(_xlfn.LET(_xlpm.txt,C51,_xlpm.inside,MID(_xlpm.txt,FIND("[",_xlpm.txt)+1,FIND("]",_xlpm.txt)-FIND("[",_xlpm.txt)-1),_xlpm.nums,VALUE(_xlfn.TEXTSPLIT(_xlpm.inside,",")),_xlpm.mapped,_xlfn.XLOOKUP(_xlpm.nums,$X$2:$X$100,$Y$2:$Y$100),SUBSTITUTE(_xlpm.txt,"["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"]")),C51)</f>
        <v>Spent catalysts</v>
      </c>
      <c r="AC51" t="str" cm="1">
        <f t="array" ref="AC51">IFERROR(_xlfn.LET(_xlpm.txt,D51,_xlpm.inside,MID(_xlpm.txt,FIND("[",_xlpm.txt)+1,FIND("]",_xlpm.txt)-FIND("[",_xlpm.txt)-1),_xlpm.nums,VALUE(_xlfn.TEXTSPLIT(_xlpm.inside,",")),_xlpm.mapped,_xlfn.XLOOKUP(_xlpm.nums,$X$2:$X$100,$Y$2:$Y$100),SUBSTITUTE(_xlpm.txt,"["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"]")),D51)</f>
        <v>Spent SCR or DeNOx or hydroprocessing catalysts [19,26]</v>
      </c>
      <c r="AD51" t="str" cm="1">
        <f t="array" ref="AD51">IFERROR(_xlfn.LET(_xlpm.txt,E51,_xlpm.inside,MID(_xlpm.txt,FIND("[",_xlpm.txt)+1,FIND("]",_xlpm.txt)-FIND("[",_xlpm.txt)-1),_xlpm.nums,VALUE(_xlfn.TEXTSPLIT(_xlpm.inside,",")),_xlpm.mapped,_xlfn.XLOOKUP(_xlpm.nums,$X$2:$X$100,$Y$2:$Y$100),SUBSTITUTE(_xlpm.txt,"["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"]")),E51)</f>
        <v>Smelting (wetting or settling technique) for PGM or Ni or V metal recovery [26]
hydrometallurgical leaching of V, Ni, PGMs for selective separation [50]
Catalyst regeneration by removing poisons and re–activating supports [50]</v>
      </c>
      <c r="AE51" t="str" cm="1">
        <f t="array" ref="AE51">IFERROR(_xlfn.LET(_xlpm.txt,F51,_xlpm.inside,MID(_xlpm.txt,FIND("[",_xlpm.txt)+1,FIND("]",_xlpm.txt)-FIND("[",_xlpm.txt)-1),_xlpm.nums,VALUE(_xlfn.TEXTSPLIT(_xlpm.inside,",")),_xlpm.mapped,_xlfn.XLOOKUP(_xlpm.nums,$X$2:$X$100,$Y$2:$Y$100),SUBSTITUTE(_xlpm.txt,"["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"]")),F51)</f>
        <v>V or Ni or As contamination, deactivation mechanisms [38,54]</v>
      </c>
      <c r="AF51" t="str" cm="1">
        <f t="array" ref="AF51">IFERROR(_xlfn.LET(_xlpm.txt,G51,_xlpm.inside,MID(_xlpm.txt,FIND("[",_xlpm.txt)+1,FIND("]",_xlpm.txt)-FIND("[",_xlpm.txt)-1),_xlpm.nums,VALUE(_xlfn.TEXTSPLIT(_xlpm.inside,",")),_xlpm.mapped,_xlfn.XLOOKUP(_xlpm.nums,$X$2:$X$100,$Y$2:$Y$100),SUBSTITUTE(_xlpm.txt,"["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"]")),G51)</f>
        <v>Presence of high value of V, W, Ni and PGM components make the recycling of catalyst highly profitable [38]</v>
      </c>
      <c r="AG51" t="str" cm="1">
        <f t="array" ref="AG51">IFERROR(_xlfn.LET(_xlpm.txt,H51,_xlpm.inside,MID(_xlpm.txt,FIND("[",_xlpm.txt)+1,FIND("]",_xlpm.txt)-FIND("[",_xlpm.txt)-1),_xlpm.nums,VALUE(_xlfn.TEXTSPLIT(_xlpm.inside,",")),_xlpm.mapped,_xlfn.XLOOKUP(_xlpm.nums,$X$2:$X$100,$Y$2:$Y$100),SUBSTITUTE(_xlpm.txt,"["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"]")),H51)</f>
        <v>Refined Pd or Pt or Rh, regenerated catalysts [19,26]</v>
      </c>
      <c r="AH51" t="str" cm="1">
        <f t="array" ref="AH51">IFERROR(_xlfn.LET(_xlpm.txt,I51,_xlpm.inside,MID(_xlpm.txt,FIND("[",_xlpm.txt)+1,FIND("]",_xlpm.txt)-FIND("[",_xlpm.txt)-1),_xlpm.nums,VALUE(_xlfn.TEXTSPLIT(_xlpm.inside,",")),_xlpm.mapped,_xlfn.XLOOKUP(_xlpm.nums,$X$2:$X$100,$Y$2:$Y$100),SUBSTITUTE(_xlpm.txt,"["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"]")),I51)</f>
        <v>V, W, Ni (battery grade), PGMs [38]</v>
      </c>
      <c r="AI51" t="str" cm="1">
        <f t="array" ref="AI51">IFERROR(_xlfn.LET(_xlpm.txt,J51,_xlpm.inside,MID(_xlpm.txt,FIND("[",_xlpm.txt)+1,FIND("]",_xlpm.txt)-FIND("[",_xlpm.txt)-1),_xlpm.nums,VALUE(_xlfn.TEXTSPLIT(_xlpm.inside,",")),_xlpm.mapped,_xlfn.XLOOKUP(_xlpm.nums,$X$2:$X$100,$Y$2:$Y$100),SUBSTITUTE(_xlpm.txt,"["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"]")),J51)</f>
        <v>PGMs, Ni (battery grade), Co, Ti metal [38]</v>
      </c>
      <c r="AJ51" t="str" cm="1">
        <f t="array" ref="AJ51">IFERROR(_xlfn.LET(_xlpm.txt,K51,_xlpm.inside,MID(_xlpm.txt,FIND("[",_xlpm.txt)+1,FIND("]",_xlpm.txt)-FIND("[",_xlpm.txt)-1),_xlpm.nums,VALUE(_xlfn.TEXTSPLIT(_xlpm.inside,",")),_xlpm.mapped,_xlfn.XLOOKUP(_xlpm.nums,$X$2:$X$100,$Y$2:$Y$100),SUBSTITUTE(_xlpm.txt,"["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"]")),K51)</f>
        <v>TiO2 (79.0–85%)
SiO2 (6.65%)
P2O5 (3.6%)
CaO (2.65%)
Al2O3 (1.9%) [38]</v>
      </c>
      <c r="AK51" t="str" cm="1">
        <f t="array" ref="AK51">IFERROR(_xlfn.LET(_xlpm.txt,L51,_xlpm.inside,MID(_xlpm.txt,FIND("[",_xlpm.txt)+1,FIND("]",_xlpm.txt)-FIND("[",_xlpm.txt)-1),_xlpm.nums,VALUE(_xlfn.TEXTSPLIT(_xlpm.inside,",")),_xlpm.mapped,_xlfn.XLOOKUP(_xlpm.nums,$X$2:$X$100,$Y$2:$Y$100),SUBSTITUTE(_xlpm.txt,"["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"]")),L51)</f>
        <v>Anatase or Rutile (TiO2​)
Vanadium oxides
Tungsten oxide (WO3​) [38]</v>
      </c>
      <c r="AL51" t="str" cm="1">
        <f t="array" ref="AL51">IFERROR(_xlfn.LET(_xlpm.txt,M51,_xlpm.inside,MID(_xlpm.txt,FIND("[",_xlpm.txt)+1,FIND("]",_xlpm.txt)-FIND("[",_xlpm.txt)-1),_xlpm.nums,VALUE(_xlfn.TEXTSPLIT(_xlpm.inside,",")),_xlpm.mapped,_xlfn.XLOOKUP(_xlpm.nums,$X$2:$X$100,$Y$2:$Y$100),SUBSTITUTE(_xlpm.txt,"["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"]")),M51)</f>
        <v>Ti, Si, P, Ca, Al, O, S, As, W, V [38]</v>
      </c>
      <c r="AM51" t="str" cm="1">
        <f t="array" ref="AM51">IFERROR(_xlfn.LET(_xlpm.txt,N51,_xlpm.inside,MID(_xlpm.txt,FIND("[",_xlpm.txt)+1,FIND("]",_xlpm.txt)-FIND("[",_xlpm.txt)-1),_xlpm.nums,VALUE(_xlfn.TEXTSPLIT(_xlpm.inside,",")),_xlpm.mapped,_xlfn.XLOOKUP(_xlpm.nums,$X$2:$X$100,$Y$2:$Y$100),SUBSTITUTE(_xlpm.txt,"["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"]")),N51)</f>
        <v>Solid state: fine powder or honeycomb ceramic monoliths [38]</v>
      </c>
      <c r="AN51" t="str" cm="1">
        <f t="array" ref="AN51">IFERROR(_xlfn.LET(_xlpm.txt,O51,_xlpm.inside,MID(_xlpm.txt,FIND("[",_xlpm.txt)+1,FIND("]",_xlpm.txt)-FIND("[",_xlpm.txt)-1),_xlpm.nums,VALUE(_xlfn.TEXTSPLIT(_xlpm.inside,",")),_xlpm.mapped,_xlfn.XLOOKUP(_xlpm.nums,$X$2:$X$100,$Y$2:$Y$100),SUBSTITUTE(_xlpm.txt,"["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"]")),O51)</f>
        <v>&gt; 500,000 tonnes/year from total global SCR generation [38]</v>
      </c>
      <c r="AO51" t="str" cm="1">
        <f t="array" ref="AO51">IFERROR(_xlfn.LET(_xlpm.txt,P51,_xlpm.inside,MID(_xlpm.txt,FIND("[",_xlpm.txt)+1,FIND("]",_xlpm.txt)-FIND("[",_xlpm.txt)-1),_xlpm.nums,VALUE(_xlfn.TEXTSPLIT(_xlpm.inside,",")),_xlpm.mapped,_xlfn.XLOOKUP(_xlpm.nums,$X$2:$X$100,$Y$2:$Y$100),SUBSTITUTE(_xlpm.txt,"["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"]")),P51)</f>
        <v>Acidic: processed in H2SO4 or HCl solutions) [38]</v>
      </c>
      <c r="AP51" t="str" cm="1">
        <f t="array" ref="AP51">IFERROR(_xlfn.LET(_xlpm.txt,Q51,_xlpm.inside,MID(_xlpm.txt,FIND("[",_xlpm.txt)+1,FIND("]",_xlpm.txt)-FIND("[",_xlpm.txt)-1),_xlpm.nums,VALUE(_xlfn.TEXTSPLIT(_xlpm.inside,",")),_xlpm.mapped,_xlfn.XLOOKUP(_xlpm.nums,$X$2:$X$100,$Y$2:$Y$100),SUBSTITUTE(_xlpm.txt,"[" &amp; _xlpm.inside &amp; "]","[" &amp; _xlfn.TEXTJOIN(",",TRUE,_xlpm.mapped)&amp; "]")),Q51)</f>
        <v>Low: dry honeycomb monoliths or mechanically shredded powders [38]</v>
      </c>
    </row>
    <row r="52" spans="1:42" x14ac:dyDescent="0.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X52" s="42">
        <v>58</v>
      </c>
      <c r="Y52" s="39">
        <v>13</v>
      </c>
    </row>
    <row r="53" spans="1:42" x14ac:dyDescent="0.2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X53" s="39">
        <v>59</v>
      </c>
      <c r="Y53" s="39">
        <v>28</v>
      </c>
    </row>
    <row r="54" spans="1:42" x14ac:dyDescent="0.2">
      <c r="X54" s="39">
        <v>60</v>
      </c>
      <c r="Y54" s="63">
        <v>22</v>
      </c>
    </row>
    <row r="55" spans="1:42" x14ac:dyDescent="0.2">
      <c r="X55" s="39">
        <v>61</v>
      </c>
      <c r="Y55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E639-767E-9E48-B289-1E12FB36DC69}">
  <dimension ref="A1:Q65"/>
  <sheetViews>
    <sheetView tabSelected="1" topLeftCell="A15" zoomScale="106" workbookViewId="0">
      <selection activeCell="B6" sqref="B6"/>
    </sheetView>
  </sheetViews>
  <sheetFormatPr baseColWidth="10" defaultRowHeight="16" x14ac:dyDescent="0.2"/>
  <cols>
    <col min="1" max="1" width="21.33203125" style="28" customWidth="1"/>
    <col min="2" max="2" width="26.5" style="28" customWidth="1"/>
    <col min="3" max="4" width="32.83203125" style="28" customWidth="1"/>
    <col min="5" max="5" width="68.83203125" style="32" customWidth="1"/>
    <col min="6" max="6" width="39.1640625" style="32" customWidth="1"/>
    <col min="7" max="7" width="64.33203125" style="32" customWidth="1"/>
    <col min="8" max="8" width="53.83203125" style="32" customWidth="1"/>
    <col min="9" max="10" width="32.83203125" style="28" customWidth="1"/>
    <col min="11" max="11" width="26.6640625" customWidth="1"/>
    <col min="12" max="12" width="30.83203125" customWidth="1"/>
    <col min="13" max="14" width="36.6640625" style="29" customWidth="1"/>
    <col min="15" max="15" width="21" customWidth="1"/>
    <col min="16" max="16" width="27.33203125" customWidth="1"/>
    <col min="17" max="17" width="29.6640625" customWidth="1"/>
  </cols>
  <sheetData>
    <row r="1" spans="1:17" ht="40" x14ac:dyDescent="0.2">
      <c r="A1" s="1" t="s">
        <v>224</v>
      </c>
      <c r="B1" s="2" t="s">
        <v>212</v>
      </c>
      <c r="C1" s="2" t="s">
        <v>638</v>
      </c>
      <c r="D1" s="2" t="s">
        <v>211</v>
      </c>
      <c r="E1" s="2" t="s">
        <v>225</v>
      </c>
      <c r="F1" s="2" t="s">
        <v>0</v>
      </c>
      <c r="G1" s="2" t="s">
        <v>303</v>
      </c>
      <c r="H1" s="2" t="s">
        <v>304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302</v>
      </c>
      <c r="O1" s="2" t="s">
        <v>218</v>
      </c>
      <c r="P1" s="2" t="s">
        <v>219</v>
      </c>
      <c r="Q1" s="2" t="s">
        <v>220</v>
      </c>
    </row>
    <row r="2" spans="1:17" ht="131" customHeight="1" x14ac:dyDescent="0.2">
      <c r="A2" s="61" t="s">
        <v>230</v>
      </c>
      <c r="B2" s="4" t="s">
        <v>318</v>
      </c>
      <c r="C2" s="4" t="s">
        <v>221</v>
      </c>
      <c r="D2" s="4" t="s">
        <v>640</v>
      </c>
      <c r="E2" s="4" t="s">
        <v>587</v>
      </c>
      <c r="F2" s="4" t="s">
        <v>391</v>
      </c>
      <c r="G2" s="4" t="s">
        <v>972</v>
      </c>
      <c r="H2" s="4" t="s">
        <v>392</v>
      </c>
      <c r="I2" s="4" t="s">
        <v>393</v>
      </c>
      <c r="J2" s="4" t="s">
        <v>394</v>
      </c>
      <c r="K2" s="4" t="s">
        <v>833</v>
      </c>
      <c r="L2" s="4" t="s">
        <v>851</v>
      </c>
      <c r="M2" s="4" t="s">
        <v>828</v>
      </c>
      <c r="N2" s="4" t="s">
        <v>670</v>
      </c>
      <c r="O2" s="4" t="s">
        <v>807</v>
      </c>
      <c r="P2" s="4" t="s">
        <v>760</v>
      </c>
      <c r="Q2" s="4" t="s">
        <v>714</v>
      </c>
    </row>
    <row r="3" spans="1:17" ht="100" customHeight="1" x14ac:dyDescent="0.2">
      <c r="A3" s="61" t="s">
        <v>230</v>
      </c>
      <c r="B3" s="4" t="s">
        <v>318</v>
      </c>
      <c r="C3" s="4" t="s">
        <v>305</v>
      </c>
      <c r="D3" s="4" t="s">
        <v>641</v>
      </c>
      <c r="E3" s="4" t="s">
        <v>588</v>
      </c>
      <c r="F3" s="4" t="s">
        <v>642</v>
      </c>
      <c r="G3" s="4" t="s">
        <v>395</v>
      </c>
      <c r="H3" s="4" t="s">
        <v>396</v>
      </c>
      <c r="I3" s="4" t="s">
        <v>397</v>
      </c>
      <c r="J3" s="4" t="s">
        <v>237</v>
      </c>
      <c r="K3" s="4" t="s">
        <v>836</v>
      </c>
      <c r="L3" s="4" t="s">
        <v>834</v>
      </c>
      <c r="M3" s="4" t="s">
        <v>835</v>
      </c>
      <c r="N3" s="4" t="s">
        <v>671</v>
      </c>
      <c r="O3" s="4" t="s">
        <v>398</v>
      </c>
      <c r="P3" s="4" t="s">
        <v>761</v>
      </c>
      <c r="Q3" s="4" t="s">
        <v>713</v>
      </c>
    </row>
    <row r="4" spans="1:17" ht="102" customHeight="1" x14ac:dyDescent="0.2">
      <c r="A4" s="61" t="s">
        <v>230</v>
      </c>
      <c r="B4" s="4" t="s">
        <v>318</v>
      </c>
      <c r="C4" s="4" t="s">
        <v>306</v>
      </c>
      <c r="D4" s="4" t="s">
        <v>344</v>
      </c>
      <c r="E4" s="4" t="s">
        <v>589</v>
      </c>
      <c r="F4" s="4" t="s">
        <v>643</v>
      </c>
      <c r="G4" s="4" t="s">
        <v>399</v>
      </c>
      <c r="H4" s="4" t="s">
        <v>400</v>
      </c>
      <c r="I4" s="4" t="s">
        <v>401</v>
      </c>
      <c r="J4" s="4" t="s">
        <v>237</v>
      </c>
      <c r="K4" s="4" t="s">
        <v>837</v>
      </c>
      <c r="L4" s="4" t="s">
        <v>838</v>
      </c>
      <c r="M4" s="4" t="s">
        <v>829</v>
      </c>
      <c r="N4" s="4" t="s">
        <v>672</v>
      </c>
      <c r="O4" s="4" t="s">
        <v>808</v>
      </c>
      <c r="P4" s="4" t="s">
        <v>763</v>
      </c>
      <c r="Q4" s="4" t="s">
        <v>715</v>
      </c>
    </row>
    <row r="5" spans="1:17" ht="85" customHeight="1" x14ac:dyDescent="0.2">
      <c r="A5" s="61" t="s">
        <v>230</v>
      </c>
      <c r="B5" s="4" t="s">
        <v>318</v>
      </c>
      <c r="C5" s="4" t="s">
        <v>1</v>
      </c>
      <c r="D5" s="4" t="s">
        <v>345</v>
      </c>
      <c r="E5" s="4" t="s">
        <v>590</v>
      </c>
      <c r="F5" s="4" t="s">
        <v>402</v>
      </c>
      <c r="G5" s="4" t="s">
        <v>403</v>
      </c>
      <c r="H5" s="4" t="s">
        <v>404</v>
      </c>
      <c r="I5" s="4" t="s">
        <v>615</v>
      </c>
      <c r="J5" s="4" t="s">
        <v>237</v>
      </c>
      <c r="K5" s="4" t="s">
        <v>840</v>
      </c>
      <c r="L5" s="4" t="s">
        <v>839</v>
      </c>
      <c r="M5" s="4" t="s">
        <v>647</v>
      </c>
      <c r="N5" s="4" t="s">
        <v>673</v>
      </c>
      <c r="O5" s="4" t="s">
        <v>809</v>
      </c>
      <c r="P5" s="4" t="s">
        <v>764</v>
      </c>
      <c r="Q5" s="4" t="s">
        <v>716</v>
      </c>
    </row>
    <row r="6" spans="1:17" ht="83" customHeight="1" x14ac:dyDescent="0.2">
      <c r="A6" s="61" t="s">
        <v>230</v>
      </c>
      <c r="B6" s="4" t="s">
        <v>318</v>
      </c>
      <c r="C6" s="4" t="s">
        <v>2</v>
      </c>
      <c r="D6" s="4" t="s">
        <v>346</v>
      </c>
      <c r="E6" s="4" t="s">
        <v>967</v>
      </c>
      <c r="F6" s="4" t="s">
        <v>405</v>
      </c>
      <c r="G6" s="4" t="s">
        <v>639</v>
      </c>
      <c r="H6" s="4" t="s">
        <v>406</v>
      </c>
      <c r="I6" s="4" t="s">
        <v>237</v>
      </c>
      <c r="J6" s="4" t="s">
        <v>407</v>
      </c>
      <c r="K6" s="4" t="s">
        <v>832</v>
      </c>
      <c r="L6" s="4" t="s">
        <v>830</v>
      </c>
      <c r="M6" s="4" t="s">
        <v>648</v>
      </c>
      <c r="N6" s="4" t="s">
        <v>674</v>
      </c>
      <c r="O6" s="4" t="s">
        <v>810</v>
      </c>
      <c r="P6" s="4" t="s">
        <v>968</v>
      </c>
      <c r="Q6" s="4" t="s">
        <v>717</v>
      </c>
    </row>
    <row r="7" spans="1:17" ht="102" x14ac:dyDescent="0.2">
      <c r="A7" s="61" t="s">
        <v>307</v>
      </c>
      <c r="B7" s="4" t="s">
        <v>319</v>
      </c>
      <c r="C7" s="4" t="s">
        <v>222</v>
      </c>
      <c r="D7" s="4" t="s">
        <v>347</v>
      </c>
      <c r="E7" s="4" t="s">
        <v>591</v>
      </c>
      <c r="F7" s="4" t="s">
        <v>408</v>
      </c>
      <c r="G7" s="4" t="s">
        <v>409</v>
      </c>
      <c r="H7" s="4" t="s">
        <v>410</v>
      </c>
      <c r="I7" s="4" t="s">
        <v>411</v>
      </c>
      <c r="J7" s="4" t="s">
        <v>412</v>
      </c>
      <c r="K7" s="4" t="s">
        <v>842</v>
      </c>
      <c r="L7" s="5" t="s">
        <v>841</v>
      </c>
      <c r="M7" s="5" t="s">
        <v>649</v>
      </c>
      <c r="N7" s="5" t="s">
        <v>675</v>
      </c>
      <c r="O7" s="4" t="s">
        <v>811</v>
      </c>
      <c r="P7" s="4" t="s">
        <v>762</v>
      </c>
      <c r="Q7" s="4" t="s">
        <v>718</v>
      </c>
    </row>
    <row r="8" spans="1:17" ht="68" x14ac:dyDescent="0.2">
      <c r="A8" s="61" t="s">
        <v>307</v>
      </c>
      <c r="B8" s="4" t="s">
        <v>319</v>
      </c>
      <c r="C8" s="4" t="s">
        <v>308</v>
      </c>
      <c r="D8" s="4" t="s">
        <v>348</v>
      </c>
      <c r="E8" s="4" t="s">
        <v>592</v>
      </c>
      <c r="F8" s="4" t="s">
        <v>413</v>
      </c>
      <c r="G8" s="4" t="s">
        <v>414</v>
      </c>
      <c r="H8" s="4" t="s">
        <v>415</v>
      </c>
      <c r="I8" s="4" t="s">
        <v>617</v>
      </c>
      <c r="J8" s="4" t="s">
        <v>237</v>
      </c>
      <c r="K8" s="4" t="s">
        <v>843</v>
      </c>
      <c r="L8" s="4" t="s">
        <v>844</v>
      </c>
      <c r="M8" s="4" t="s">
        <v>650</v>
      </c>
      <c r="N8" s="4" t="s">
        <v>676</v>
      </c>
      <c r="O8" s="4" t="s">
        <v>812</v>
      </c>
      <c r="P8" s="4" t="s">
        <v>765</v>
      </c>
      <c r="Q8" s="4" t="s">
        <v>719</v>
      </c>
    </row>
    <row r="9" spans="1:17" ht="85" x14ac:dyDescent="0.2">
      <c r="A9" s="61" t="s">
        <v>307</v>
      </c>
      <c r="B9" s="4" t="s">
        <v>319</v>
      </c>
      <c r="C9" s="4" t="s">
        <v>3</v>
      </c>
      <c r="D9" s="4" t="s">
        <v>349</v>
      </c>
      <c r="E9" s="4" t="s">
        <v>593</v>
      </c>
      <c r="F9" s="4" t="s">
        <v>416</v>
      </c>
      <c r="G9" s="4" t="s">
        <v>417</v>
      </c>
      <c r="H9" s="4" t="s">
        <v>418</v>
      </c>
      <c r="I9" s="4" t="s">
        <v>618</v>
      </c>
      <c r="J9" s="4" t="s">
        <v>419</v>
      </c>
      <c r="K9" s="4" t="s">
        <v>846</v>
      </c>
      <c r="L9" s="4" t="s">
        <v>845</v>
      </c>
      <c r="M9" s="4" t="s">
        <v>651</v>
      </c>
      <c r="N9" s="4" t="s">
        <v>420</v>
      </c>
      <c r="O9" s="4" t="s">
        <v>813</v>
      </c>
      <c r="P9" s="4" t="s">
        <v>766</v>
      </c>
      <c r="Q9" s="4" t="s">
        <v>720</v>
      </c>
    </row>
    <row r="10" spans="1:17" ht="102" x14ac:dyDescent="0.2">
      <c r="A10" s="61" t="s">
        <v>307</v>
      </c>
      <c r="B10" s="4" t="s">
        <v>319</v>
      </c>
      <c r="C10" s="4" t="s">
        <v>4</v>
      </c>
      <c r="D10" s="4" t="s">
        <v>350</v>
      </c>
      <c r="E10" s="4" t="s">
        <v>594</v>
      </c>
      <c r="F10" s="4" t="s">
        <v>421</v>
      </c>
      <c r="G10" s="4" t="s">
        <v>422</v>
      </c>
      <c r="H10" s="4" t="s">
        <v>423</v>
      </c>
      <c r="I10" s="4" t="s">
        <v>424</v>
      </c>
      <c r="J10" s="4" t="s">
        <v>425</v>
      </c>
      <c r="K10" s="4" t="s">
        <v>847</v>
      </c>
      <c r="L10" s="4" t="s">
        <v>848</v>
      </c>
      <c r="M10" s="4" t="s">
        <v>849</v>
      </c>
      <c r="N10" s="4" t="s">
        <v>677</v>
      </c>
      <c r="O10" s="4" t="s">
        <v>814</v>
      </c>
      <c r="P10" s="4" t="s">
        <v>767</v>
      </c>
      <c r="Q10" s="4" t="s">
        <v>721</v>
      </c>
    </row>
    <row r="11" spans="1:17" ht="204" x14ac:dyDescent="0.2">
      <c r="A11" s="3" t="s">
        <v>309</v>
      </c>
      <c r="B11" s="4" t="s">
        <v>320</v>
      </c>
      <c r="C11" s="4" t="s">
        <v>310</v>
      </c>
      <c r="D11" s="4" t="s">
        <v>351</v>
      </c>
      <c r="E11" s="4" t="s">
        <v>595</v>
      </c>
      <c r="F11" s="4" t="s">
        <v>426</v>
      </c>
      <c r="G11" s="4" t="s">
        <v>427</v>
      </c>
      <c r="H11" s="4" t="s">
        <v>428</v>
      </c>
      <c r="I11" s="4" t="s">
        <v>616</v>
      </c>
      <c r="J11" s="4" t="s">
        <v>237</v>
      </c>
      <c r="K11" s="4" t="s">
        <v>850</v>
      </c>
      <c r="L11" s="4" t="s">
        <v>852</v>
      </c>
      <c r="M11" s="4" t="s">
        <v>831</v>
      </c>
      <c r="N11" s="4" t="s">
        <v>678</v>
      </c>
      <c r="O11" s="4" t="s">
        <v>815</v>
      </c>
      <c r="P11" s="4" t="s">
        <v>768</v>
      </c>
      <c r="Q11" s="4" t="s">
        <v>722</v>
      </c>
    </row>
    <row r="12" spans="1:17" ht="102" x14ac:dyDescent="0.2">
      <c r="A12" s="59" t="s">
        <v>5</v>
      </c>
      <c r="B12" s="7" t="s">
        <v>321</v>
      </c>
      <c r="C12" s="7" t="s">
        <v>6</v>
      </c>
      <c r="D12" s="7" t="s">
        <v>352</v>
      </c>
      <c r="E12" s="7" t="s">
        <v>596</v>
      </c>
      <c r="F12" s="7" t="s">
        <v>429</v>
      </c>
      <c r="G12" s="7" t="s">
        <v>430</v>
      </c>
      <c r="H12" s="7" t="s">
        <v>431</v>
      </c>
      <c r="I12" s="7" t="s">
        <v>432</v>
      </c>
      <c r="J12" s="7" t="s">
        <v>433</v>
      </c>
      <c r="K12" s="7" t="s">
        <v>434</v>
      </c>
      <c r="L12" s="7" t="s">
        <v>857</v>
      </c>
      <c r="M12" s="8" t="s">
        <v>652</v>
      </c>
      <c r="N12" s="8" t="s">
        <v>679</v>
      </c>
      <c r="O12" s="7" t="s">
        <v>816</v>
      </c>
      <c r="P12" s="7" t="s">
        <v>769</v>
      </c>
      <c r="Q12" s="7" t="s">
        <v>723</v>
      </c>
    </row>
    <row r="13" spans="1:17" ht="85" x14ac:dyDescent="0.2">
      <c r="A13" s="59" t="s">
        <v>5</v>
      </c>
      <c r="B13" s="7" t="s">
        <v>321</v>
      </c>
      <c r="C13" s="7" t="s">
        <v>236</v>
      </c>
      <c r="D13" s="7" t="s">
        <v>353</v>
      </c>
      <c r="E13" s="7" t="s">
        <v>597</v>
      </c>
      <c r="F13" s="7" t="s">
        <v>435</v>
      </c>
      <c r="G13" s="7" t="s">
        <v>436</v>
      </c>
      <c r="H13" s="7" t="s">
        <v>437</v>
      </c>
      <c r="I13" s="7" t="s">
        <v>619</v>
      </c>
      <c r="J13" s="7" t="s">
        <v>438</v>
      </c>
      <c r="K13" s="7" t="s">
        <v>860</v>
      </c>
      <c r="L13" s="7" t="s">
        <v>859</v>
      </c>
      <c r="M13" s="7" t="s">
        <v>858</v>
      </c>
      <c r="N13" s="7" t="s">
        <v>680</v>
      </c>
      <c r="O13" s="7" t="s">
        <v>817</v>
      </c>
      <c r="P13" s="7" t="s">
        <v>770</v>
      </c>
      <c r="Q13" s="7" t="s">
        <v>724</v>
      </c>
    </row>
    <row r="14" spans="1:17" ht="136" x14ac:dyDescent="0.2">
      <c r="A14" s="59" t="s">
        <v>5</v>
      </c>
      <c r="B14" s="7" t="s">
        <v>321</v>
      </c>
      <c r="C14" s="7" t="s">
        <v>7</v>
      </c>
      <c r="D14" s="7" t="s">
        <v>354</v>
      </c>
      <c r="E14" s="7" t="s">
        <v>976</v>
      </c>
      <c r="F14" s="7" t="s">
        <v>439</v>
      </c>
      <c r="G14" s="7" t="s">
        <v>440</v>
      </c>
      <c r="H14" s="7" t="s">
        <v>620</v>
      </c>
      <c r="I14" s="7" t="s">
        <v>441</v>
      </c>
      <c r="J14" s="7" t="s">
        <v>442</v>
      </c>
      <c r="K14" s="7" t="s">
        <v>861</v>
      </c>
      <c r="L14" s="7" t="s">
        <v>854</v>
      </c>
      <c r="M14" s="8" t="s">
        <v>653</v>
      </c>
      <c r="N14" s="7" t="s">
        <v>681</v>
      </c>
      <c r="O14" s="7" t="s">
        <v>8</v>
      </c>
      <c r="P14" s="7" t="s">
        <v>975</v>
      </c>
      <c r="Q14" s="7" t="s">
        <v>725</v>
      </c>
    </row>
    <row r="15" spans="1:17" ht="85" x14ac:dyDescent="0.2">
      <c r="A15" s="59" t="s">
        <v>5</v>
      </c>
      <c r="B15" s="7" t="s">
        <v>321</v>
      </c>
      <c r="C15" s="7" t="s">
        <v>9</v>
      </c>
      <c r="D15" s="7" t="s">
        <v>355</v>
      </c>
      <c r="E15" s="7" t="s">
        <v>598</v>
      </c>
      <c r="F15" s="7" t="s">
        <v>443</v>
      </c>
      <c r="G15" s="7" t="s">
        <v>444</v>
      </c>
      <c r="H15" s="7" t="s">
        <v>445</v>
      </c>
      <c r="I15" s="7" t="s">
        <v>621</v>
      </c>
      <c r="J15" s="7" t="s">
        <v>622</v>
      </c>
      <c r="K15" s="7" t="s">
        <v>855</v>
      </c>
      <c r="L15" s="7" t="s">
        <v>862</v>
      </c>
      <c r="M15" s="7" t="s">
        <v>654</v>
      </c>
      <c r="N15" s="7" t="s">
        <v>446</v>
      </c>
      <c r="O15" s="7" t="s">
        <v>818</v>
      </c>
      <c r="P15" s="7" t="s">
        <v>771</v>
      </c>
      <c r="Q15" s="7" t="s">
        <v>726</v>
      </c>
    </row>
    <row r="16" spans="1:17" ht="85" x14ac:dyDescent="0.2">
      <c r="A16" s="6" t="s">
        <v>226</v>
      </c>
      <c r="B16" s="7" t="s">
        <v>322</v>
      </c>
      <c r="C16" s="7" t="s">
        <v>10</v>
      </c>
      <c r="D16" s="7" t="s">
        <v>356</v>
      </c>
      <c r="E16" s="7" t="s">
        <v>599</v>
      </c>
      <c r="F16" s="7" t="s">
        <v>447</v>
      </c>
      <c r="G16" s="7" t="s">
        <v>448</v>
      </c>
      <c r="H16" s="7" t="s">
        <v>449</v>
      </c>
      <c r="I16" s="7" t="s">
        <v>450</v>
      </c>
      <c r="J16" s="7" t="s">
        <v>451</v>
      </c>
      <c r="K16" s="7" t="s">
        <v>958</v>
      </c>
      <c r="L16" s="7" t="s">
        <v>452</v>
      </c>
      <c r="M16" s="7" t="s">
        <v>856</v>
      </c>
      <c r="N16" s="7" t="s">
        <v>682</v>
      </c>
      <c r="O16" s="7" t="s">
        <v>819</v>
      </c>
      <c r="P16" s="7" t="s">
        <v>772</v>
      </c>
      <c r="Q16" s="7" t="s">
        <v>727</v>
      </c>
    </row>
    <row r="17" spans="1:17" ht="85" x14ac:dyDescent="0.2">
      <c r="A17" s="9" t="s">
        <v>11</v>
      </c>
      <c r="B17" s="10" t="s">
        <v>323</v>
      </c>
      <c r="C17" s="10" t="s">
        <v>227</v>
      </c>
      <c r="D17" s="10" t="s">
        <v>357</v>
      </c>
      <c r="E17" s="10" t="s">
        <v>600</v>
      </c>
      <c r="F17" s="10" t="s">
        <v>453</v>
      </c>
      <c r="G17" s="10" t="s">
        <v>454</v>
      </c>
      <c r="H17" s="10" t="s">
        <v>455</v>
      </c>
      <c r="I17" s="10" t="s">
        <v>456</v>
      </c>
      <c r="J17" s="10" t="s">
        <v>457</v>
      </c>
      <c r="K17" s="10" t="s">
        <v>959</v>
      </c>
      <c r="L17" s="10" t="s">
        <v>863</v>
      </c>
      <c r="M17" s="10" t="s">
        <v>865</v>
      </c>
      <c r="N17" s="10" t="s">
        <v>684</v>
      </c>
      <c r="O17" s="10" t="s">
        <v>820</v>
      </c>
      <c r="P17" s="10" t="s">
        <v>773</v>
      </c>
      <c r="Q17" s="10" t="s">
        <v>728</v>
      </c>
    </row>
    <row r="18" spans="1:17" ht="68" x14ac:dyDescent="0.2">
      <c r="A18" s="60" t="s">
        <v>228</v>
      </c>
      <c r="B18" s="10" t="s">
        <v>324</v>
      </c>
      <c r="C18" s="10" t="s">
        <v>12</v>
      </c>
      <c r="D18" s="10" t="s">
        <v>358</v>
      </c>
      <c r="E18" s="10" t="s">
        <v>601</v>
      </c>
      <c r="F18" s="10" t="s">
        <v>458</v>
      </c>
      <c r="G18" s="10" t="s">
        <v>459</v>
      </c>
      <c r="H18" s="10" t="s">
        <v>460</v>
      </c>
      <c r="I18" s="10" t="s">
        <v>237</v>
      </c>
      <c r="J18" s="10" t="s">
        <v>237</v>
      </c>
      <c r="K18" s="10" t="s">
        <v>461</v>
      </c>
      <c r="L18" s="10" t="s">
        <v>864</v>
      </c>
      <c r="M18" s="10" t="s">
        <v>655</v>
      </c>
      <c r="N18" s="10" t="s">
        <v>683</v>
      </c>
      <c r="O18" s="10" t="s">
        <v>821</v>
      </c>
      <c r="P18" s="10" t="s">
        <v>774</v>
      </c>
      <c r="Q18" s="10" t="s">
        <v>729</v>
      </c>
    </row>
    <row r="19" spans="1:17" ht="102" x14ac:dyDescent="0.2">
      <c r="A19" s="60" t="s">
        <v>228</v>
      </c>
      <c r="B19" s="10" t="s">
        <v>325</v>
      </c>
      <c r="C19" s="10" t="s">
        <v>13</v>
      </c>
      <c r="D19" s="10" t="s">
        <v>359</v>
      </c>
      <c r="E19" s="10" t="s">
        <v>602</v>
      </c>
      <c r="F19" s="10" t="s">
        <v>462</v>
      </c>
      <c r="G19" s="10" t="s">
        <v>463</v>
      </c>
      <c r="H19" s="10" t="s">
        <v>464</v>
      </c>
      <c r="I19" s="10" t="s">
        <v>465</v>
      </c>
      <c r="J19" s="10" t="s">
        <v>466</v>
      </c>
      <c r="K19" s="10" t="s">
        <v>467</v>
      </c>
      <c r="L19" s="10" t="s">
        <v>853</v>
      </c>
      <c r="M19" s="10" t="s">
        <v>468</v>
      </c>
      <c r="N19" s="10" t="s">
        <v>469</v>
      </c>
      <c r="O19" s="10" t="s">
        <v>470</v>
      </c>
      <c r="P19" s="10" t="s">
        <v>775</v>
      </c>
      <c r="Q19" s="10" t="s">
        <v>730</v>
      </c>
    </row>
    <row r="20" spans="1:17" ht="136" x14ac:dyDescent="0.2">
      <c r="A20" s="11" t="s">
        <v>14</v>
      </c>
      <c r="B20" s="12" t="s">
        <v>974</v>
      </c>
      <c r="C20" s="12" t="s">
        <v>15</v>
      </c>
      <c r="D20" s="12" t="s">
        <v>360</v>
      </c>
      <c r="E20" s="12" t="s">
        <v>603</v>
      </c>
      <c r="F20" s="12" t="s">
        <v>471</v>
      </c>
      <c r="G20" s="12" t="s">
        <v>472</v>
      </c>
      <c r="H20" s="12" t="s">
        <v>473</v>
      </c>
      <c r="I20" s="12" t="s">
        <v>474</v>
      </c>
      <c r="J20" s="12" t="s">
        <v>475</v>
      </c>
      <c r="K20" s="12" t="s">
        <v>875</v>
      </c>
      <c r="L20" s="12" t="s">
        <v>876</v>
      </c>
      <c r="M20" s="12" t="s">
        <v>877</v>
      </c>
      <c r="N20" s="12" t="s">
        <v>685</v>
      </c>
      <c r="O20" s="12" t="s">
        <v>827</v>
      </c>
      <c r="P20" s="12" t="s">
        <v>969</v>
      </c>
      <c r="Q20" s="12" t="s">
        <v>731</v>
      </c>
    </row>
    <row r="21" spans="1:17" ht="85" x14ac:dyDescent="0.2">
      <c r="A21" s="13" t="s">
        <v>16</v>
      </c>
      <c r="B21" s="14" t="s">
        <v>326</v>
      </c>
      <c r="C21" s="14" t="s">
        <v>973</v>
      </c>
      <c r="D21" s="14" t="s">
        <v>361</v>
      </c>
      <c r="E21" s="14" t="s">
        <v>938</v>
      </c>
      <c r="F21" s="14" t="s">
        <v>586</v>
      </c>
      <c r="G21" s="14" t="s">
        <v>476</v>
      </c>
      <c r="H21" s="14" t="s">
        <v>477</v>
      </c>
      <c r="I21" s="14" t="s">
        <v>623</v>
      </c>
      <c r="J21" s="14" t="s">
        <v>478</v>
      </c>
      <c r="K21" s="14" t="s">
        <v>935</v>
      </c>
      <c r="L21" s="14" t="s">
        <v>936</v>
      </c>
      <c r="M21" s="14" t="s">
        <v>937</v>
      </c>
      <c r="N21" s="14" t="s">
        <v>686</v>
      </c>
      <c r="O21" s="14" t="s">
        <v>235</v>
      </c>
      <c r="P21" s="14" t="s">
        <v>776</v>
      </c>
      <c r="Q21" s="14" t="s">
        <v>971</v>
      </c>
    </row>
    <row r="22" spans="1:17" ht="85" x14ac:dyDescent="0.2">
      <c r="A22" s="15" t="s">
        <v>17</v>
      </c>
      <c r="B22" s="16" t="s">
        <v>327</v>
      </c>
      <c r="C22" s="16" t="s">
        <v>18</v>
      </c>
      <c r="D22" s="16" t="s">
        <v>362</v>
      </c>
      <c r="E22" s="16" t="s">
        <v>939</v>
      </c>
      <c r="F22" s="16" t="s">
        <v>479</v>
      </c>
      <c r="G22" s="16" t="s">
        <v>480</v>
      </c>
      <c r="H22" s="16" t="s">
        <v>481</v>
      </c>
      <c r="I22" s="16" t="s">
        <v>237</v>
      </c>
      <c r="J22" s="16" t="s">
        <v>237</v>
      </c>
      <c r="K22" s="16" t="s">
        <v>872</v>
      </c>
      <c r="L22" s="16" t="s">
        <v>873</v>
      </c>
      <c r="M22" s="16" t="s">
        <v>656</v>
      </c>
      <c r="N22" s="16" t="s">
        <v>687</v>
      </c>
      <c r="O22" s="16" t="s">
        <v>235</v>
      </c>
      <c r="P22" s="16" t="s">
        <v>777</v>
      </c>
      <c r="Q22" s="16" t="s">
        <v>732</v>
      </c>
    </row>
    <row r="23" spans="1:17" ht="119" x14ac:dyDescent="0.2">
      <c r="A23" s="15" t="s">
        <v>232</v>
      </c>
      <c r="B23" s="16" t="s">
        <v>328</v>
      </c>
      <c r="C23" s="16" t="s">
        <v>19</v>
      </c>
      <c r="D23" s="16" t="s">
        <v>363</v>
      </c>
      <c r="E23" s="16" t="s">
        <v>940</v>
      </c>
      <c r="F23" s="16" t="s">
        <v>482</v>
      </c>
      <c r="G23" s="16" t="s">
        <v>483</v>
      </c>
      <c r="H23" s="16" t="s">
        <v>484</v>
      </c>
      <c r="I23" s="16" t="s">
        <v>237</v>
      </c>
      <c r="J23" s="16" t="s">
        <v>485</v>
      </c>
      <c r="K23" s="16" t="s">
        <v>870</v>
      </c>
      <c r="L23" s="16" t="s">
        <v>871</v>
      </c>
      <c r="M23" s="16" t="s">
        <v>866</v>
      </c>
      <c r="N23" s="16" t="s">
        <v>688</v>
      </c>
      <c r="O23" s="16" t="s">
        <v>235</v>
      </c>
      <c r="P23" s="16" t="s">
        <v>778</v>
      </c>
      <c r="Q23" s="16" t="s">
        <v>733</v>
      </c>
    </row>
    <row r="24" spans="1:17" ht="102" x14ac:dyDescent="0.2">
      <c r="A24" s="15" t="s">
        <v>20</v>
      </c>
      <c r="B24" s="16" t="s">
        <v>329</v>
      </c>
      <c r="C24" s="16" t="s">
        <v>21</v>
      </c>
      <c r="D24" s="16" t="s">
        <v>364</v>
      </c>
      <c r="E24" s="16" t="s">
        <v>941</v>
      </c>
      <c r="F24" s="16" t="s">
        <v>486</v>
      </c>
      <c r="G24" s="16" t="s">
        <v>487</v>
      </c>
      <c r="H24" s="16" t="s">
        <v>488</v>
      </c>
      <c r="I24" s="16" t="s">
        <v>237</v>
      </c>
      <c r="J24" s="16" t="s">
        <v>489</v>
      </c>
      <c r="K24" s="16" t="s">
        <v>869</v>
      </c>
      <c r="L24" s="16" t="s">
        <v>868</v>
      </c>
      <c r="M24" s="16" t="s">
        <v>657</v>
      </c>
      <c r="N24" s="16" t="s">
        <v>689</v>
      </c>
      <c r="O24" s="16" t="s">
        <v>235</v>
      </c>
      <c r="P24" s="16" t="s">
        <v>779</v>
      </c>
      <c r="Q24" s="16" t="s">
        <v>734</v>
      </c>
    </row>
    <row r="25" spans="1:17" ht="136" x14ac:dyDescent="0.2">
      <c r="A25" s="58" t="s">
        <v>22</v>
      </c>
      <c r="B25" s="18" t="s">
        <v>330</v>
      </c>
      <c r="C25" s="18" t="s">
        <v>23</v>
      </c>
      <c r="D25" s="18" t="s">
        <v>365</v>
      </c>
      <c r="E25" s="18" t="s">
        <v>943</v>
      </c>
      <c r="F25" s="18" t="s">
        <v>490</v>
      </c>
      <c r="G25" s="18" t="s">
        <v>490</v>
      </c>
      <c r="H25" s="18" t="s">
        <v>491</v>
      </c>
      <c r="I25" s="18" t="s">
        <v>237</v>
      </c>
      <c r="J25" s="18" t="s">
        <v>627</v>
      </c>
      <c r="K25" s="18" t="s">
        <v>644</v>
      </c>
      <c r="L25" s="18" t="s">
        <v>867</v>
      </c>
      <c r="M25" s="18" t="s">
        <v>874</v>
      </c>
      <c r="N25" s="18" t="s">
        <v>690</v>
      </c>
      <c r="O25" s="18" t="s">
        <v>235</v>
      </c>
      <c r="P25" s="18" t="s">
        <v>780</v>
      </c>
      <c r="Q25" s="18" t="s">
        <v>735</v>
      </c>
    </row>
    <row r="26" spans="1:17" ht="51" x14ac:dyDescent="0.2">
      <c r="A26" s="58" t="s">
        <v>22</v>
      </c>
      <c r="B26" s="18" t="s">
        <v>330</v>
      </c>
      <c r="C26" s="18" t="s">
        <v>24</v>
      </c>
      <c r="D26" s="18" t="s">
        <v>366</v>
      </c>
      <c r="E26" s="18" t="s">
        <v>942</v>
      </c>
      <c r="F26" s="18" t="s">
        <v>492</v>
      </c>
      <c r="G26" s="18" t="s">
        <v>492</v>
      </c>
      <c r="H26" s="18" t="s">
        <v>493</v>
      </c>
      <c r="I26" s="18" t="s">
        <v>625</v>
      </c>
      <c r="J26" s="18" t="s">
        <v>624</v>
      </c>
      <c r="K26" s="18" t="s">
        <v>960</v>
      </c>
      <c r="L26" s="18" t="s">
        <v>881</v>
      </c>
      <c r="M26" s="18" t="s">
        <v>880</v>
      </c>
      <c r="N26" s="18" t="s">
        <v>691</v>
      </c>
      <c r="O26" s="18" t="s">
        <v>235</v>
      </c>
      <c r="P26" s="18" t="s">
        <v>781</v>
      </c>
      <c r="Q26" s="18" t="s">
        <v>736</v>
      </c>
    </row>
    <row r="27" spans="1:17" ht="102" x14ac:dyDescent="0.2">
      <c r="A27" s="58" t="s">
        <v>231</v>
      </c>
      <c r="B27" s="18" t="s">
        <v>331</v>
      </c>
      <c r="C27" s="18" t="s">
        <v>25</v>
      </c>
      <c r="D27" s="18" t="s">
        <v>367</v>
      </c>
      <c r="E27" s="18" t="s">
        <v>604</v>
      </c>
      <c r="F27" s="18" t="s">
        <v>494</v>
      </c>
      <c r="G27" s="18" t="s">
        <v>494</v>
      </c>
      <c r="H27" s="18" t="s">
        <v>495</v>
      </c>
      <c r="I27" s="18" t="s">
        <v>237</v>
      </c>
      <c r="J27" s="18" t="s">
        <v>237</v>
      </c>
      <c r="K27" s="18" t="s">
        <v>645</v>
      </c>
      <c r="L27" s="18" t="s">
        <v>882</v>
      </c>
      <c r="M27" s="18" t="s">
        <v>884</v>
      </c>
      <c r="N27" s="18" t="s">
        <v>690</v>
      </c>
      <c r="O27" s="18" t="s">
        <v>235</v>
      </c>
      <c r="P27" s="18" t="s">
        <v>782</v>
      </c>
      <c r="Q27" s="18" t="s">
        <v>737</v>
      </c>
    </row>
    <row r="28" spans="1:17" ht="51" x14ac:dyDescent="0.2">
      <c r="A28" s="58" t="s">
        <v>231</v>
      </c>
      <c r="B28" s="18" t="s">
        <v>331</v>
      </c>
      <c r="C28" s="18" t="s">
        <v>26</v>
      </c>
      <c r="D28" s="18" t="s">
        <v>368</v>
      </c>
      <c r="E28" s="18" t="s">
        <v>605</v>
      </c>
      <c r="F28" s="18" t="s">
        <v>496</v>
      </c>
      <c r="G28" s="18" t="s">
        <v>496</v>
      </c>
      <c r="H28" s="18" t="s">
        <v>497</v>
      </c>
      <c r="I28" s="18" t="s">
        <v>237</v>
      </c>
      <c r="J28" s="18" t="s">
        <v>237</v>
      </c>
      <c r="K28" s="18" t="s">
        <v>885</v>
      </c>
      <c r="L28" s="18" t="s">
        <v>886</v>
      </c>
      <c r="M28" s="20" t="s">
        <v>658</v>
      </c>
      <c r="N28" s="20" t="s">
        <v>692</v>
      </c>
      <c r="O28" s="18" t="s">
        <v>235</v>
      </c>
      <c r="P28" s="18" t="s">
        <v>783</v>
      </c>
      <c r="Q28" s="18" t="s">
        <v>738</v>
      </c>
    </row>
    <row r="29" spans="1:17" ht="85" x14ac:dyDescent="0.2">
      <c r="A29" s="17" t="s">
        <v>27</v>
      </c>
      <c r="B29" s="18" t="s">
        <v>332</v>
      </c>
      <c r="C29" s="18" t="s">
        <v>28</v>
      </c>
      <c r="D29" s="18" t="s">
        <v>369</v>
      </c>
      <c r="E29" s="18" t="s">
        <v>944</v>
      </c>
      <c r="F29" s="18" t="s">
        <v>498</v>
      </c>
      <c r="G29" s="18" t="s">
        <v>498</v>
      </c>
      <c r="H29" s="18" t="s">
        <v>499</v>
      </c>
      <c r="I29" s="18" t="s">
        <v>237</v>
      </c>
      <c r="J29" s="18" t="s">
        <v>237</v>
      </c>
      <c r="K29" s="18" t="s">
        <v>889</v>
      </c>
      <c r="L29" s="18" t="s">
        <v>888</v>
      </c>
      <c r="M29" s="18" t="s">
        <v>887</v>
      </c>
      <c r="N29" s="18" t="s">
        <v>693</v>
      </c>
      <c r="O29" s="18" t="s">
        <v>235</v>
      </c>
      <c r="P29" s="18" t="s">
        <v>784</v>
      </c>
      <c r="Q29" s="18" t="s">
        <v>739</v>
      </c>
    </row>
    <row r="30" spans="1:17" ht="68" x14ac:dyDescent="0.2">
      <c r="A30" s="58" t="s">
        <v>29</v>
      </c>
      <c r="B30" s="18" t="s">
        <v>333</v>
      </c>
      <c r="C30" s="18" t="s">
        <v>30</v>
      </c>
      <c r="D30" s="18" t="s">
        <v>370</v>
      </c>
      <c r="E30" s="18" t="s">
        <v>606</v>
      </c>
      <c r="F30" s="18" t="s">
        <v>500</v>
      </c>
      <c r="G30" s="18" t="s">
        <v>501</v>
      </c>
      <c r="H30" s="18" t="s">
        <v>502</v>
      </c>
      <c r="I30" s="18" t="s">
        <v>237</v>
      </c>
      <c r="J30" s="18" t="s">
        <v>485</v>
      </c>
      <c r="K30" s="18" t="s">
        <v>890</v>
      </c>
      <c r="L30" s="18" t="s">
        <v>891</v>
      </c>
      <c r="M30" s="18" t="s">
        <v>660</v>
      </c>
      <c r="N30" s="18" t="s">
        <v>694</v>
      </c>
      <c r="O30" s="18" t="s">
        <v>235</v>
      </c>
      <c r="P30" s="18" t="s">
        <v>785</v>
      </c>
      <c r="Q30" s="18" t="s">
        <v>740</v>
      </c>
    </row>
    <row r="31" spans="1:17" ht="119" x14ac:dyDescent="0.2">
      <c r="A31" s="58" t="s">
        <v>29</v>
      </c>
      <c r="B31" s="18" t="s">
        <v>333</v>
      </c>
      <c r="C31" s="18" t="s">
        <v>31</v>
      </c>
      <c r="D31" s="18" t="s">
        <v>371</v>
      </c>
      <c r="E31" s="18" t="s">
        <v>945</v>
      </c>
      <c r="F31" s="18" t="s">
        <v>503</v>
      </c>
      <c r="G31" s="18" t="s">
        <v>503</v>
      </c>
      <c r="H31" s="18" t="s">
        <v>504</v>
      </c>
      <c r="I31" s="18" t="s">
        <v>237</v>
      </c>
      <c r="J31" s="18" t="s">
        <v>485</v>
      </c>
      <c r="K31" s="18" t="s">
        <v>977</v>
      </c>
      <c r="L31" s="18" t="s">
        <v>892</v>
      </c>
      <c r="M31" s="18" t="s">
        <v>893</v>
      </c>
      <c r="N31" s="19" t="s">
        <v>695</v>
      </c>
      <c r="O31" s="18" t="s">
        <v>822</v>
      </c>
      <c r="P31" s="18" t="s">
        <v>786</v>
      </c>
      <c r="Q31" s="18" t="s">
        <v>741</v>
      </c>
    </row>
    <row r="32" spans="1:17" ht="85" x14ac:dyDescent="0.2">
      <c r="A32" s="17" t="s">
        <v>32</v>
      </c>
      <c r="B32" s="18" t="s">
        <v>334</v>
      </c>
      <c r="C32" s="18" t="s">
        <v>33</v>
      </c>
      <c r="D32" s="18" t="s">
        <v>372</v>
      </c>
      <c r="E32" s="18" t="s">
        <v>946</v>
      </c>
      <c r="F32" s="18" t="s">
        <v>505</v>
      </c>
      <c r="G32" s="18" t="s">
        <v>505</v>
      </c>
      <c r="H32" s="18" t="s">
        <v>506</v>
      </c>
      <c r="I32" s="18" t="s">
        <v>626</v>
      </c>
      <c r="J32" s="18" t="s">
        <v>237</v>
      </c>
      <c r="K32" s="18" t="s">
        <v>896</v>
      </c>
      <c r="L32" s="18" t="s">
        <v>894</v>
      </c>
      <c r="M32" s="18" t="s">
        <v>659</v>
      </c>
      <c r="N32" s="18" t="s">
        <v>690</v>
      </c>
      <c r="O32" s="18" t="s">
        <v>235</v>
      </c>
      <c r="P32" s="18" t="s">
        <v>787</v>
      </c>
      <c r="Q32" s="18" t="s">
        <v>737</v>
      </c>
    </row>
    <row r="33" spans="1:17" ht="85" x14ac:dyDescent="0.2">
      <c r="A33" s="17" t="s">
        <v>32</v>
      </c>
      <c r="B33" s="18" t="s">
        <v>334</v>
      </c>
      <c r="C33" s="18" t="s">
        <v>34</v>
      </c>
      <c r="D33" s="18" t="s">
        <v>373</v>
      </c>
      <c r="E33" s="18" t="s">
        <v>607</v>
      </c>
      <c r="F33" s="18" t="s">
        <v>507</v>
      </c>
      <c r="G33" s="18" t="s">
        <v>507</v>
      </c>
      <c r="H33" s="18" t="s">
        <v>508</v>
      </c>
      <c r="I33" s="18" t="s">
        <v>626</v>
      </c>
      <c r="J33" s="18" t="s">
        <v>237</v>
      </c>
      <c r="K33" s="18" t="s">
        <v>897</v>
      </c>
      <c r="L33" s="18" t="s">
        <v>895</v>
      </c>
      <c r="M33" s="18" t="s">
        <v>669</v>
      </c>
      <c r="N33" s="18" t="s">
        <v>696</v>
      </c>
      <c r="O33" s="18" t="s">
        <v>822</v>
      </c>
      <c r="P33" s="18" t="s">
        <v>788</v>
      </c>
      <c r="Q33" s="18" t="s">
        <v>742</v>
      </c>
    </row>
    <row r="34" spans="1:17" ht="85" x14ac:dyDescent="0.2">
      <c r="A34" s="57" t="s">
        <v>311</v>
      </c>
      <c r="B34" s="21" t="s">
        <v>335</v>
      </c>
      <c r="C34" s="21" t="s">
        <v>312</v>
      </c>
      <c r="D34" s="21" t="s">
        <v>374</v>
      </c>
      <c r="E34" s="21" t="s">
        <v>608</v>
      </c>
      <c r="F34" s="21" t="s">
        <v>509</v>
      </c>
      <c r="G34" s="21" t="s">
        <v>510</v>
      </c>
      <c r="H34" s="21" t="s">
        <v>511</v>
      </c>
      <c r="I34" s="21" t="s">
        <v>512</v>
      </c>
      <c r="J34" s="21" t="s">
        <v>513</v>
      </c>
      <c r="K34" s="21" t="s">
        <v>646</v>
      </c>
      <c r="L34" s="21" t="s">
        <v>901</v>
      </c>
      <c r="M34" s="21" t="s">
        <v>514</v>
      </c>
      <c r="N34" s="21" t="s">
        <v>697</v>
      </c>
      <c r="O34" s="21" t="s">
        <v>235</v>
      </c>
      <c r="P34" s="21" t="s">
        <v>789</v>
      </c>
      <c r="Q34" s="21" t="s">
        <v>743</v>
      </c>
    </row>
    <row r="35" spans="1:17" ht="102" x14ac:dyDescent="0.2">
      <c r="A35" s="57" t="s">
        <v>311</v>
      </c>
      <c r="B35" s="21" t="s">
        <v>335</v>
      </c>
      <c r="C35" s="21" t="s">
        <v>35</v>
      </c>
      <c r="D35" s="21" t="s">
        <v>375</v>
      </c>
      <c r="E35" s="21" t="s">
        <v>947</v>
      </c>
      <c r="F35" s="21" t="s">
        <v>515</v>
      </c>
      <c r="G35" s="21" t="s">
        <v>516</v>
      </c>
      <c r="H35" s="21" t="s">
        <v>517</v>
      </c>
      <c r="I35" s="21" t="s">
        <v>518</v>
      </c>
      <c r="J35" s="21" t="s">
        <v>519</v>
      </c>
      <c r="K35" s="21" t="s">
        <v>902</v>
      </c>
      <c r="L35" s="21" t="s">
        <v>900</v>
      </c>
      <c r="M35" s="21" t="s">
        <v>661</v>
      </c>
      <c r="N35" s="21" t="s">
        <v>698</v>
      </c>
      <c r="O35" s="21" t="s">
        <v>823</v>
      </c>
      <c r="P35" s="21" t="s">
        <v>790</v>
      </c>
      <c r="Q35" s="21" t="s">
        <v>744</v>
      </c>
    </row>
    <row r="36" spans="1:17" ht="102" x14ac:dyDescent="0.2">
      <c r="A36" s="57" t="s">
        <v>313</v>
      </c>
      <c r="B36" s="21" t="s">
        <v>336</v>
      </c>
      <c r="C36" s="21" t="s">
        <v>36</v>
      </c>
      <c r="D36" s="21" t="s">
        <v>376</v>
      </c>
      <c r="E36" s="21" t="s">
        <v>948</v>
      </c>
      <c r="F36" s="21" t="s">
        <v>520</v>
      </c>
      <c r="G36" s="21" t="s">
        <v>521</v>
      </c>
      <c r="H36" s="21" t="s">
        <v>522</v>
      </c>
      <c r="I36" s="21" t="s">
        <v>523</v>
      </c>
      <c r="J36" s="21" t="s">
        <v>524</v>
      </c>
      <c r="K36" s="21" t="s">
        <v>961</v>
      </c>
      <c r="L36" s="21" t="s">
        <v>898</v>
      </c>
      <c r="M36" s="22" t="s">
        <v>899</v>
      </c>
      <c r="N36" s="22" t="s">
        <v>699</v>
      </c>
      <c r="O36" s="21" t="s">
        <v>235</v>
      </c>
      <c r="P36" s="21" t="s">
        <v>791</v>
      </c>
      <c r="Q36" s="21" t="s">
        <v>745</v>
      </c>
    </row>
    <row r="37" spans="1:17" ht="85" x14ac:dyDescent="0.2">
      <c r="A37" s="57" t="s">
        <v>313</v>
      </c>
      <c r="B37" s="21" t="s">
        <v>336</v>
      </c>
      <c r="C37" s="21" t="s">
        <v>314</v>
      </c>
      <c r="D37" s="21" t="s">
        <v>377</v>
      </c>
      <c r="E37" s="21" t="s">
        <v>609</v>
      </c>
      <c r="F37" s="21" t="s">
        <v>525</v>
      </c>
      <c r="G37" s="21" t="s">
        <v>526</v>
      </c>
      <c r="H37" s="21" t="s">
        <v>527</v>
      </c>
      <c r="I37" s="21" t="s">
        <v>237</v>
      </c>
      <c r="J37" s="21" t="s">
        <v>528</v>
      </c>
      <c r="K37" s="21" t="s">
        <v>903</v>
      </c>
      <c r="L37" s="21" t="s">
        <v>904</v>
      </c>
      <c r="M37" s="21" t="s">
        <v>529</v>
      </c>
      <c r="N37" s="21" t="s">
        <v>700</v>
      </c>
      <c r="O37" s="21" t="s">
        <v>235</v>
      </c>
      <c r="P37" s="21" t="s">
        <v>792</v>
      </c>
      <c r="Q37" s="21" t="s">
        <v>746</v>
      </c>
    </row>
    <row r="38" spans="1:17" ht="68" x14ac:dyDescent="0.2">
      <c r="A38" s="57" t="s">
        <v>313</v>
      </c>
      <c r="B38" s="21" t="s">
        <v>336</v>
      </c>
      <c r="C38" s="21" t="s">
        <v>315</v>
      </c>
      <c r="D38" s="21" t="s">
        <v>378</v>
      </c>
      <c r="E38" s="21" t="s">
        <v>949</v>
      </c>
      <c r="F38" s="21" t="s">
        <v>530</v>
      </c>
      <c r="G38" s="21" t="s">
        <v>531</v>
      </c>
      <c r="H38" s="21" t="s">
        <v>532</v>
      </c>
      <c r="I38" s="21" t="s">
        <v>628</v>
      </c>
      <c r="J38" s="21" t="s">
        <v>533</v>
      </c>
      <c r="K38" s="21" t="s">
        <v>883</v>
      </c>
      <c r="L38" s="21" t="s">
        <v>905</v>
      </c>
      <c r="M38" s="21" t="s">
        <v>662</v>
      </c>
      <c r="N38" s="21" t="s">
        <v>701</v>
      </c>
      <c r="O38" s="21" t="s">
        <v>235</v>
      </c>
      <c r="P38" s="21" t="s">
        <v>793</v>
      </c>
      <c r="Q38" s="21" t="s">
        <v>747</v>
      </c>
    </row>
    <row r="39" spans="1:17" ht="85" x14ac:dyDescent="0.2">
      <c r="A39" s="57" t="s">
        <v>313</v>
      </c>
      <c r="B39" s="21" t="s">
        <v>336</v>
      </c>
      <c r="C39" s="21" t="s">
        <v>223</v>
      </c>
      <c r="D39" s="21" t="s">
        <v>379</v>
      </c>
      <c r="E39" s="21" t="s">
        <v>950</v>
      </c>
      <c r="F39" s="21" t="s">
        <v>534</v>
      </c>
      <c r="G39" s="21" t="s">
        <v>534</v>
      </c>
      <c r="H39" s="21" t="s">
        <v>535</v>
      </c>
      <c r="I39" s="21" t="s">
        <v>237</v>
      </c>
      <c r="J39" s="21" t="s">
        <v>629</v>
      </c>
      <c r="K39" s="21" t="s">
        <v>906</v>
      </c>
      <c r="L39" s="21" t="s">
        <v>907</v>
      </c>
      <c r="M39" s="21" t="s">
        <v>908</v>
      </c>
      <c r="N39" s="21" t="s">
        <v>702</v>
      </c>
      <c r="O39" s="21" t="s">
        <v>235</v>
      </c>
      <c r="P39" s="21" t="s">
        <v>794</v>
      </c>
      <c r="Q39" s="21" t="s">
        <v>962</v>
      </c>
    </row>
    <row r="40" spans="1:17" ht="68" x14ac:dyDescent="0.2">
      <c r="A40" s="55" t="s">
        <v>37</v>
      </c>
      <c r="B40" s="23" t="s">
        <v>337</v>
      </c>
      <c r="C40" s="23" t="s">
        <v>38</v>
      </c>
      <c r="D40" s="23" t="s">
        <v>380</v>
      </c>
      <c r="E40" s="23" t="s">
        <v>951</v>
      </c>
      <c r="F40" s="23" t="s">
        <v>536</v>
      </c>
      <c r="G40" s="23" t="s">
        <v>537</v>
      </c>
      <c r="H40" s="23" t="s">
        <v>538</v>
      </c>
      <c r="I40" s="23" t="s">
        <v>630</v>
      </c>
      <c r="J40" s="23" t="s">
        <v>539</v>
      </c>
      <c r="K40" s="23" t="s">
        <v>927</v>
      </c>
      <c r="L40" s="23" t="s">
        <v>930</v>
      </c>
      <c r="M40" s="23" t="s">
        <v>931</v>
      </c>
      <c r="N40" s="23" t="s">
        <v>703</v>
      </c>
      <c r="O40" s="23" t="s">
        <v>235</v>
      </c>
      <c r="P40" s="23" t="s">
        <v>795</v>
      </c>
      <c r="Q40" s="23" t="s">
        <v>748</v>
      </c>
    </row>
    <row r="41" spans="1:17" ht="85" x14ac:dyDescent="0.2">
      <c r="A41" s="55" t="s">
        <v>37</v>
      </c>
      <c r="B41" s="25" t="s">
        <v>337</v>
      </c>
      <c r="C41" s="25" t="s">
        <v>39</v>
      </c>
      <c r="D41" s="25" t="s">
        <v>381</v>
      </c>
      <c r="E41" s="25" t="s">
        <v>952</v>
      </c>
      <c r="F41" s="25" t="s">
        <v>540</v>
      </c>
      <c r="G41" s="25" t="s">
        <v>540</v>
      </c>
      <c r="H41" s="25" t="s">
        <v>541</v>
      </c>
      <c r="I41" s="23" t="s">
        <v>631</v>
      </c>
      <c r="J41" s="25" t="s">
        <v>237</v>
      </c>
      <c r="K41" s="25" t="s">
        <v>542</v>
      </c>
      <c r="L41" s="25" t="s">
        <v>915</v>
      </c>
      <c r="M41" s="25" t="s">
        <v>663</v>
      </c>
      <c r="N41" s="25" t="s">
        <v>704</v>
      </c>
      <c r="O41" s="25" t="s">
        <v>235</v>
      </c>
      <c r="P41" s="25" t="s">
        <v>796</v>
      </c>
      <c r="Q41" s="25" t="s">
        <v>749</v>
      </c>
    </row>
    <row r="42" spans="1:17" ht="51" x14ac:dyDescent="0.2">
      <c r="A42" s="55" t="s">
        <v>40</v>
      </c>
      <c r="B42" s="23" t="s">
        <v>338</v>
      </c>
      <c r="C42" s="23" t="s">
        <v>316</v>
      </c>
      <c r="D42" s="23" t="s">
        <v>382</v>
      </c>
      <c r="E42" s="23" t="s">
        <v>610</v>
      </c>
      <c r="F42" s="23" t="s">
        <v>543</v>
      </c>
      <c r="G42" s="23" t="s">
        <v>544</v>
      </c>
      <c r="H42" s="23" t="s">
        <v>545</v>
      </c>
      <c r="I42" s="23" t="s">
        <v>546</v>
      </c>
      <c r="J42" s="23" t="s">
        <v>547</v>
      </c>
      <c r="K42" s="23" t="s">
        <v>548</v>
      </c>
      <c r="L42" s="23" t="s">
        <v>549</v>
      </c>
      <c r="M42" s="23" t="s">
        <v>926</v>
      </c>
      <c r="N42" s="23" t="s">
        <v>705</v>
      </c>
      <c r="O42" s="23" t="s">
        <v>235</v>
      </c>
      <c r="P42" s="23" t="s">
        <v>797</v>
      </c>
      <c r="Q42" s="23" t="s">
        <v>750</v>
      </c>
    </row>
    <row r="43" spans="1:17" ht="51" x14ac:dyDescent="0.2">
      <c r="A43" s="55" t="s">
        <v>40</v>
      </c>
      <c r="B43" s="25" t="s">
        <v>338</v>
      </c>
      <c r="C43" s="25" t="s">
        <v>929</v>
      </c>
      <c r="D43" s="25" t="s">
        <v>970</v>
      </c>
      <c r="E43" s="25" t="s">
        <v>953</v>
      </c>
      <c r="F43" s="25" t="s">
        <v>550</v>
      </c>
      <c r="G43" s="25" t="s">
        <v>550</v>
      </c>
      <c r="H43" s="25" t="s">
        <v>551</v>
      </c>
      <c r="I43" s="25" t="s">
        <v>237</v>
      </c>
      <c r="J43" s="25" t="s">
        <v>552</v>
      </c>
      <c r="K43" s="25" t="s">
        <v>932</v>
      </c>
      <c r="L43" s="25" t="s">
        <v>933</v>
      </c>
      <c r="M43" s="25" t="s">
        <v>934</v>
      </c>
      <c r="N43" s="24" t="s">
        <v>706</v>
      </c>
      <c r="O43" s="25" t="s">
        <v>235</v>
      </c>
      <c r="P43" s="25" t="s">
        <v>798</v>
      </c>
      <c r="Q43" s="25" t="s">
        <v>751</v>
      </c>
    </row>
    <row r="44" spans="1:17" ht="68" x14ac:dyDescent="0.2">
      <c r="A44" s="55" t="s">
        <v>229</v>
      </c>
      <c r="B44" s="25" t="s">
        <v>339</v>
      </c>
      <c r="C44" s="25" t="s">
        <v>41</v>
      </c>
      <c r="D44" s="25" t="s">
        <v>383</v>
      </c>
      <c r="E44" s="25" t="s">
        <v>611</v>
      </c>
      <c r="F44" s="25" t="s">
        <v>553</v>
      </c>
      <c r="G44" s="25" t="s">
        <v>554</v>
      </c>
      <c r="H44" s="25" t="s">
        <v>555</v>
      </c>
      <c r="I44" s="23" t="s">
        <v>632</v>
      </c>
      <c r="J44" s="25" t="s">
        <v>299</v>
      </c>
      <c r="K44" s="25" t="s">
        <v>909</v>
      </c>
      <c r="L44" s="25" t="s">
        <v>556</v>
      </c>
      <c r="M44" s="25" t="s">
        <v>664</v>
      </c>
      <c r="N44" s="25" t="s">
        <v>963</v>
      </c>
      <c r="O44" s="25" t="s">
        <v>235</v>
      </c>
      <c r="P44" s="25" t="s">
        <v>799</v>
      </c>
      <c r="Q44" s="25" t="s">
        <v>752</v>
      </c>
    </row>
    <row r="45" spans="1:17" ht="51" x14ac:dyDescent="0.2">
      <c r="A45" s="55" t="s">
        <v>229</v>
      </c>
      <c r="B45" s="25" t="s">
        <v>339</v>
      </c>
      <c r="C45" s="25" t="s">
        <v>233</v>
      </c>
      <c r="D45" s="25" t="s">
        <v>384</v>
      </c>
      <c r="E45" s="25" t="s">
        <v>954</v>
      </c>
      <c r="F45" s="25" t="s">
        <v>557</v>
      </c>
      <c r="G45" s="25" t="s">
        <v>557</v>
      </c>
      <c r="H45" s="25" t="s">
        <v>558</v>
      </c>
      <c r="I45" s="25" t="s">
        <v>559</v>
      </c>
      <c r="J45" s="25" t="s">
        <v>560</v>
      </c>
      <c r="K45" s="25" t="s">
        <v>910</v>
      </c>
      <c r="L45" s="25" t="s">
        <v>914</v>
      </c>
      <c r="M45" s="25" t="s">
        <v>924</v>
      </c>
      <c r="N45" s="24" t="s">
        <v>707</v>
      </c>
      <c r="O45" s="25" t="s">
        <v>235</v>
      </c>
      <c r="P45" s="25" t="s">
        <v>800</v>
      </c>
      <c r="Q45" s="25" t="s">
        <v>753</v>
      </c>
    </row>
    <row r="46" spans="1:17" ht="102" x14ac:dyDescent="0.2">
      <c r="A46" s="26" t="s">
        <v>42</v>
      </c>
      <c r="B46" s="27" t="s">
        <v>340</v>
      </c>
      <c r="C46" s="27" t="s">
        <v>43</v>
      </c>
      <c r="D46" s="27" t="s">
        <v>385</v>
      </c>
      <c r="E46" s="27" t="s">
        <v>956</v>
      </c>
      <c r="F46" s="27" t="s">
        <v>561</v>
      </c>
      <c r="G46" s="27" t="s">
        <v>562</v>
      </c>
      <c r="H46" s="27" t="s">
        <v>563</v>
      </c>
      <c r="I46" s="27" t="s">
        <v>564</v>
      </c>
      <c r="J46" s="27" t="s">
        <v>633</v>
      </c>
      <c r="K46" s="27" t="s">
        <v>911</v>
      </c>
      <c r="L46" s="27" t="s">
        <v>913</v>
      </c>
      <c r="M46" s="27" t="s">
        <v>665</v>
      </c>
      <c r="N46" s="27" t="s">
        <v>708</v>
      </c>
      <c r="O46" s="27" t="s">
        <v>824</v>
      </c>
      <c r="P46" s="27" t="s">
        <v>801</v>
      </c>
      <c r="Q46" s="27" t="s">
        <v>754</v>
      </c>
    </row>
    <row r="47" spans="1:17" ht="68" x14ac:dyDescent="0.2">
      <c r="A47" s="56" t="s">
        <v>238</v>
      </c>
      <c r="B47" s="27" t="s">
        <v>341</v>
      </c>
      <c r="C47" s="27" t="s">
        <v>234</v>
      </c>
      <c r="D47" s="27" t="s">
        <v>386</v>
      </c>
      <c r="E47" s="27" t="s">
        <v>964</v>
      </c>
      <c r="F47" s="27" t="s">
        <v>565</v>
      </c>
      <c r="G47" s="27" t="s">
        <v>566</v>
      </c>
      <c r="H47" s="27" t="s">
        <v>567</v>
      </c>
      <c r="I47" s="27" t="s">
        <v>634</v>
      </c>
      <c r="J47" s="27" t="s">
        <v>635</v>
      </c>
      <c r="K47" s="27" t="s">
        <v>923</v>
      </c>
      <c r="L47" s="27" t="s">
        <v>922</v>
      </c>
      <c r="M47" s="27" t="s">
        <v>666</v>
      </c>
      <c r="N47" s="27" t="s">
        <v>709</v>
      </c>
      <c r="O47" s="27" t="s">
        <v>235</v>
      </c>
      <c r="P47" s="27" t="s">
        <v>802</v>
      </c>
      <c r="Q47" s="27" t="s">
        <v>755</v>
      </c>
    </row>
    <row r="48" spans="1:17" ht="85" x14ac:dyDescent="0.2">
      <c r="A48" s="56" t="s">
        <v>238</v>
      </c>
      <c r="B48" s="27" t="s">
        <v>341</v>
      </c>
      <c r="C48" s="27" t="s">
        <v>44</v>
      </c>
      <c r="D48" s="27" t="s">
        <v>387</v>
      </c>
      <c r="E48" s="27" t="s">
        <v>965</v>
      </c>
      <c r="F48" s="27" t="s">
        <v>568</v>
      </c>
      <c r="G48" s="27" t="s">
        <v>569</v>
      </c>
      <c r="H48" s="27" t="s">
        <v>570</v>
      </c>
      <c r="I48" s="27" t="s">
        <v>237</v>
      </c>
      <c r="J48" s="27" t="s">
        <v>571</v>
      </c>
      <c r="K48" s="27" t="s">
        <v>966</v>
      </c>
      <c r="L48" s="27" t="s">
        <v>921</v>
      </c>
      <c r="M48" s="27" t="s">
        <v>667</v>
      </c>
      <c r="N48" s="27" t="s">
        <v>710</v>
      </c>
      <c r="O48" s="27" t="s">
        <v>235</v>
      </c>
      <c r="P48" s="27" t="s">
        <v>803</v>
      </c>
      <c r="Q48" s="27" t="s">
        <v>756</v>
      </c>
    </row>
    <row r="49" spans="1:17" ht="136" x14ac:dyDescent="0.2">
      <c r="A49" s="26" t="s">
        <v>45</v>
      </c>
      <c r="B49" s="27" t="s">
        <v>342</v>
      </c>
      <c r="C49" s="27" t="s">
        <v>928</v>
      </c>
      <c r="D49" s="27" t="s">
        <v>388</v>
      </c>
      <c r="E49" s="27" t="s">
        <v>955</v>
      </c>
      <c r="F49" s="27" t="s">
        <v>572</v>
      </c>
      <c r="G49" s="27" t="s">
        <v>573</v>
      </c>
      <c r="H49" s="27" t="s">
        <v>574</v>
      </c>
      <c r="I49" s="27" t="s">
        <v>636</v>
      </c>
      <c r="J49" s="27" t="s">
        <v>637</v>
      </c>
      <c r="K49" s="27" t="s">
        <v>575</v>
      </c>
      <c r="L49" s="27" t="s">
        <v>920</v>
      </c>
      <c r="M49" s="27" t="s">
        <v>668</v>
      </c>
      <c r="N49" s="27" t="s">
        <v>576</v>
      </c>
      <c r="O49" s="27" t="s">
        <v>825</v>
      </c>
      <c r="P49" s="27" t="s">
        <v>806</v>
      </c>
      <c r="Q49" s="27" t="s">
        <v>757</v>
      </c>
    </row>
    <row r="50" spans="1:17" ht="68" x14ac:dyDescent="0.2">
      <c r="A50" s="54" t="s">
        <v>317</v>
      </c>
      <c r="B50" s="28" t="s">
        <v>343</v>
      </c>
      <c r="C50" s="28" t="s">
        <v>46</v>
      </c>
      <c r="D50" s="28" t="s">
        <v>389</v>
      </c>
      <c r="E50" s="28" t="s">
        <v>957</v>
      </c>
      <c r="F50" s="28" t="s">
        <v>577</v>
      </c>
      <c r="G50" s="28" t="s">
        <v>578</v>
      </c>
      <c r="H50" s="28" t="s">
        <v>579</v>
      </c>
      <c r="I50" s="28" t="s">
        <v>300</v>
      </c>
      <c r="J50" s="28" t="s">
        <v>301</v>
      </c>
      <c r="K50" s="28" t="s">
        <v>912</v>
      </c>
      <c r="L50" s="28" t="s">
        <v>918</v>
      </c>
      <c r="M50" s="28" t="s">
        <v>919</v>
      </c>
      <c r="N50" s="28" t="s">
        <v>711</v>
      </c>
      <c r="O50" s="28" t="s">
        <v>235</v>
      </c>
      <c r="P50" s="28" t="s">
        <v>804</v>
      </c>
      <c r="Q50" s="28" t="s">
        <v>758</v>
      </c>
    </row>
    <row r="51" spans="1:17" ht="86" thickBot="1" x14ac:dyDescent="0.25">
      <c r="A51" s="54" t="s">
        <v>239</v>
      </c>
      <c r="B51" s="30" t="s">
        <v>925</v>
      </c>
      <c r="C51" s="30" t="s">
        <v>47</v>
      </c>
      <c r="D51" s="30" t="s">
        <v>390</v>
      </c>
      <c r="E51" s="30" t="s">
        <v>612</v>
      </c>
      <c r="F51" s="30" t="s">
        <v>580</v>
      </c>
      <c r="G51" s="30" t="s">
        <v>581</v>
      </c>
      <c r="H51" s="30" t="s">
        <v>582</v>
      </c>
      <c r="I51" s="30" t="s">
        <v>583</v>
      </c>
      <c r="J51" s="30" t="s">
        <v>584</v>
      </c>
      <c r="K51" s="30" t="s">
        <v>585</v>
      </c>
      <c r="L51" s="30" t="s">
        <v>917</v>
      </c>
      <c r="M51" s="30" t="s">
        <v>916</v>
      </c>
      <c r="N51" s="30" t="s">
        <v>712</v>
      </c>
      <c r="O51" s="30" t="s">
        <v>826</v>
      </c>
      <c r="P51" s="30" t="s">
        <v>805</v>
      </c>
      <c r="Q51" s="30" t="s">
        <v>759</v>
      </c>
    </row>
    <row r="52" spans="1:17" x14ac:dyDescent="0.2">
      <c r="A52" s="31"/>
      <c r="B52" s="31"/>
      <c r="C52" s="31"/>
      <c r="D52" s="31"/>
    </row>
    <row r="53" spans="1:17" x14ac:dyDescent="0.2">
      <c r="C53" s="33"/>
      <c r="D53" s="33"/>
      <c r="I53" s="33"/>
      <c r="J53" s="33"/>
    </row>
    <row r="54" spans="1:17" x14ac:dyDescent="0.2">
      <c r="B54" s="34"/>
      <c r="D54" s="31"/>
      <c r="I54"/>
      <c r="J54"/>
      <c r="M54" s="35"/>
      <c r="N54" s="35"/>
    </row>
    <row r="55" spans="1:17" x14ac:dyDescent="0.2">
      <c r="B55" s="34"/>
      <c r="I55"/>
      <c r="J55"/>
      <c r="M55" s="35"/>
      <c r="N55" s="35"/>
    </row>
    <row r="56" spans="1:17" x14ac:dyDescent="0.2">
      <c r="B56" s="34"/>
      <c r="I56"/>
      <c r="J56"/>
      <c r="M56" s="35"/>
      <c r="N56" s="35"/>
    </row>
    <row r="57" spans="1:17" x14ac:dyDescent="0.2">
      <c r="B57" s="34"/>
      <c r="I57"/>
      <c r="J57"/>
      <c r="M57" s="35"/>
      <c r="N57" s="35"/>
    </row>
    <row r="58" spans="1:17" x14ac:dyDescent="0.2">
      <c r="B58" s="34"/>
      <c r="I58"/>
      <c r="J58"/>
      <c r="M58" s="35"/>
      <c r="N58" s="35"/>
    </row>
    <row r="59" spans="1:17" x14ac:dyDescent="0.2">
      <c r="B59" s="34"/>
      <c r="I59"/>
      <c r="J59"/>
      <c r="M59" s="35"/>
      <c r="N59" s="35"/>
    </row>
    <row r="60" spans="1:17" x14ac:dyDescent="0.2">
      <c r="B60" s="34"/>
      <c r="I60"/>
      <c r="J60"/>
      <c r="M60" s="35"/>
      <c r="N60" s="35"/>
    </row>
    <row r="61" spans="1:17" x14ac:dyDescent="0.2">
      <c r="B61" s="34"/>
      <c r="I61"/>
      <c r="J61"/>
      <c r="M61" s="35"/>
      <c r="N61" s="35"/>
    </row>
    <row r="62" spans="1:17" x14ac:dyDescent="0.2">
      <c r="B62" s="34"/>
      <c r="I62"/>
      <c r="J62"/>
      <c r="M62" s="35"/>
      <c r="N62" s="35"/>
    </row>
    <row r="63" spans="1:17" x14ac:dyDescent="0.2">
      <c r="B63" s="34"/>
      <c r="I63"/>
      <c r="J63"/>
      <c r="M63" s="35"/>
      <c r="N63" s="35"/>
    </row>
    <row r="64" spans="1:17" x14ac:dyDescent="0.2">
      <c r="B64" s="34"/>
      <c r="I64"/>
      <c r="J64"/>
      <c r="M64" s="35"/>
      <c r="N64" s="35"/>
    </row>
    <row r="65" spans="9:10" x14ac:dyDescent="0.2">
      <c r="I65" s="31"/>
      <c r="J65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DE8E-9D29-F547-BF3B-9F787773CD5E}">
  <dimension ref="A1:D55"/>
  <sheetViews>
    <sheetView zoomScale="150" workbookViewId="0">
      <selection sqref="A1:B55"/>
    </sheetView>
  </sheetViews>
  <sheetFormatPr baseColWidth="10" defaultRowHeight="16" x14ac:dyDescent="0.2"/>
  <cols>
    <col min="1" max="1" width="23.5" customWidth="1"/>
    <col min="2" max="3" width="25.83203125" customWidth="1"/>
    <col min="4" max="4" width="19.5" customWidth="1"/>
  </cols>
  <sheetData>
    <row r="1" spans="1:4" ht="19" x14ac:dyDescent="0.2">
      <c r="A1" s="45" t="s">
        <v>979</v>
      </c>
      <c r="B1" s="62" t="s">
        <v>614</v>
      </c>
      <c r="C1" s="62" t="s">
        <v>978</v>
      </c>
      <c r="D1" s="66" t="s">
        <v>980</v>
      </c>
    </row>
    <row r="2" spans="1:4" x14ac:dyDescent="0.2">
      <c r="A2" s="36">
        <v>1</v>
      </c>
      <c r="B2" s="63">
        <v>10</v>
      </c>
      <c r="C2" s="63">
        <v>1</v>
      </c>
      <c r="D2" s="64">
        <v>2</v>
      </c>
    </row>
    <row r="3" spans="1:4" x14ac:dyDescent="0.2">
      <c r="A3" s="36">
        <v>2</v>
      </c>
      <c r="B3" s="63">
        <v>1</v>
      </c>
      <c r="C3" s="63">
        <v>2</v>
      </c>
      <c r="D3" s="64">
        <v>13</v>
      </c>
    </row>
    <row r="4" spans="1:4" x14ac:dyDescent="0.2">
      <c r="A4" s="36">
        <v>3</v>
      </c>
      <c r="B4" s="63">
        <v>31</v>
      </c>
      <c r="C4" s="63">
        <v>3</v>
      </c>
      <c r="D4" s="64">
        <v>47</v>
      </c>
    </row>
    <row r="5" spans="1:4" x14ac:dyDescent="0.2">
      <c r="A5" s="36">
        <v>4</v>
      </c>
      <c r="B5" s="63">
        <v>52</v>
      </c>
      <c r="C5" s="63">
        <v>4</v>
      </c>
      <c r="D5" s="39">
        <v>23</v>
      </c>
    </row>
    <row r="6" spans="1:4" x14ac:dyDescent="0.2">
      <c r="A6" s="36">
        <v>5</v>
      </c>
      <c r="B6" s="63">
        <v>26</v>
      </c>
      <c r="C6" s="63">
        <v>5</v>
      </c>
      <c r="D6" s="39">
        <v>51</v>
      </c>
    </row>
    <row r="7" spans="1:4" x14ac:dyDescent="0.2">
      <c r="A7" s="36">
        <v>6</v>
      </c>
      <c r="B7" s="63">
        <v>9</v>
      </c>
      <c r="C7" s="63">
        <v>6</v>
      </c>
      <c r="D7" s="39">
        <v>38</v>
      </c>
    </row>
    <row r="8" spans="1:4" x14ac:dyDescent="0.2">
      <c r="A8" s="36">
        <v>7</v>
      </c>
      <c r="B8" s="63">
        <v>47</v>
      </c>
      <c r="C8" s="63">
        <v>7</v>
      </c>
      <c r="D8" s="39">
        <v>11</v>
      </c>
    </row>
    <row r="9" spans="1:4" x14ac:dyDescent="0.2">
      <c r="A9" s="36">
        <v>8</v>
      </c>
      <c r="B9" s="63">
        <v>37</v>
      </c>
      <c r="C9" s="63">
        <v>9</v>
      </c>
      <c r="D9" s="39">
        <v>6</v>
      </c>
    </row>
    <row r="10" spans="1:4" x14ac:dyDescent="0.2">
      <c r="A10" s="36">
        <v>10</v>
      </c>
      <c r="B10" s="63">
        <v>24</v>
      </c>
      <c r="C10" s="63">
        <v>10</v>
      </c>
      <c r="D10" s="39">
        <v>1</v>
      </c>
    </row>
    <row r="11" spans="1:4" x14ac:dyDescent="0.2">
      <c r="A11" s="36">
        <v>11</v>
      </c>
      <c r="B11" s="63">
        <v>7</v>
      </c>
      <c r="C11" s="63">
        <v>11</v>
      </c>
      <c r="D11" s="39">
        <v>25</v>
      </c>
    </row>
    <row r="12" spans="1:4" x14ac:dyDescent="0.2">
      <c r="A12" s="36">
        <v>12</v>
      </c>
      <c r="B12" s="64">
        <v>50</v>
      </c>
      <c r="C12" s="64">
        <v>12</v>
      </c>
      <c r="D12" s="39">
        <v>24</v>
      </c>
    </row>
    <row r="13" spans="1:4" x14ac:dyDescent="0.2">
      <c r="A13" s="36">
        <v>13</v>
      </c>
      <c r="B13" s="63">
        <v>2</v>
      </c>
      <c r="C13" s="63">
        <v>13</v>
      </c>
      <c r="D13" s="39">
        <v>58</v>
      </c>
    </row>
    <row r="14" spans="1:4" x14ac:dyDescent="0.2">
      <c r="A14" s="36">
        <v>15</v>
      </c>
      <c r="B14" s="63">
        <v>33</v>
      </c>
      <c r="C14" s="63">
        <v>14</v>
      </c>
      <c r="D14" s="39">
        <v>42</v>
      </c>
    </row>
    <row r="15" spans="1:4" x14ac:dyDescent="0.2">
      <c r="A15" s="36">
        <v>17</v>
      </c>
      <c r="B15" s="63">
        <v>23</v>
      </c>
      <c r="C15" s="63">
        <v>15</v>
      </c>
      <c r="D15" s="39">
        <v>57</v>
      </c>
    </row>
    <row r="16" spans="1:4" x14ac:dyDescent="0.2">
      <c r="A16" s="36">
        <v>18</v>
      </c>
      <c r="B16" s="63">
        <v>17</v>
      </c>
      <c r="C16" s="63">
        <v>16</v>
      </c>
      <c r="D16" s="39">
        <v>36</v>
      </c>
    </row>
    <row r="17" spans="1:4" x14ac:dyDescent="0.2">
      <c r="A17" s="36">
        <v>19</v>
      </c>
      <c r="B17" s="63">
        <v>38</v>
      </c>
      <c r="C17" s="63">
        <v>17</v>
      </c>
      <c r="D17" s="39">
        <v>18</v>
      </c>
    </row>
    <row r="18" spans="1:4" x14ac:dyDescent="0.2">
      <c r="A18" s="36">
        <v>20</v>
      </c>
      <c r="B18" s="63">
        <v>36</v>
      </c>
      <c r="C18" s="63">
        <v>18</v>
      </c>
      <c r="D18" s="39">
        <v>33</v>
      </c>
    </row>
    <row r="19" spans="1:4" x14ac:dyDescent="0.2">
      <c r="A19" s="36">
        <v>21</v>
      </c>
      <c r="B19" s="63">
        <v>20</v>
      </c>
      <c r="C19" s="63">
        <v>19</v>
      </c>
      <c r="D19" s="39">
        <v>50</v>
      </c>
    </row>
    <row r="20" spans="1:4" x14ac:dyDescent="0.2">
      <c r="A20" s="36">
        <v>22</v>
      </c>
      <c r="B20" s="63">
        <v>41</v>
      </c>
      <c r="C20" s="63">
        <v>20</v>
      </c>
      <c r="D20" s="39">
        <v>21</v>
      </c>
    </row>
    <row r="21" spans="1:4" x14ac:dyDescent="0.2">
      <c r="A21" s="36">
        <v>23</v>
      </c>
      <c r="B21" s="63">
        <v>4</v>
      </c>
      <c r="C21" s="63">
        <v>21</v>
      </c>
      <c r="D21" s="39">
        <v>32</v>
      </c>
    </row>
    <row r="22" spans="1:4" x14ac:dyDescent="0.2">
      <c r="A22" s="41">
        <v>24</v>
      </c>
      <c r="B22" s="63">
        <v>12</v>
      </c>
      <c r="C22" s="63">
        <v>22</v>
      </c>
      <c r="D22" s="39">
        <v>60</v>
      </c>
    </row>
    <row r="23" spans="1:4" x14ac:dyDescent="0.2">
      <c r="A23" s="36">
        <v>25</v>
      </c>
      <c r="B23" s="63">
        <v>11</v>
      </c>
      <c r="C23" s="63">
        <v>23</v>
      </c>
      <c r="D23" s="39">
        <v>17</v>
      </c>
    </row>
    <row r="24" spans="1:4" x14ac:dyDescent="0.2">
      <c r="A24" s="36">
        <v>27</v>
      </c>
      <c r="B24" s="63">
        <v>25</v>
      </c>
      <c r="C24" s="63">
        <v>24</v>
      </c>
      <c r="D24" s="39">
        <v>10</v>
      </c>
    </row>
    <row r="25" spans="1:4" x14ac:dyDescent="0.2">
      <c r="A25" s="36">
        <v>28</v>
      </c>
      <c r="B25" s="63">
        <v>42</v>
      </c>
      <c r="C25" s="63">
        <v>25</v>
      </c>
      <c r="D25" s="39">
        <v>27</v>
      </c>
    </row>
    <row r="26" spans="1:4" x14ac:dyDescent="0.2">
      <c r="A26" s="36">
        <v>30</v>
      </c>
      <c r="B26" s="63">
        <v>35</v>
      </c>
      <c r="C26" s="63">
        <v>26</v>
      </c>
      <c r="D26" s="39">
        <v>5</v>
      </c>
    </row>
    <row r="27" spans="1:4" x14ac:dyDescent="0.2">
      <c r="A27" s="36">
        <v>31</v>
      </c>
      <c r="B27" s="63">
        <v>53</v>
      </c>
      <c r="C27" s="63">
        <v>27</v>
      </c>
      <c r="D27" s="39">
        <v>39</v>
      </c>
    </row>
    <row r="28" spans="1:4" x14ac:dyDescent="0.2">
      <c r="A28" s="36">
        <v>32</v>
      </c>
      <c r="B28" s="63">
        <v>21</v>
      </c>
      <c r="C28" s="63">
        <v>28</v>
      </c>
      <c r="D28" s="39">
        <v>59</v>
      </c>
    </row>
    <row r="29" spans="1:4" x14ac:dyDescent="0.2">
      <c r="A29" s="36">
        <v>33</v>
      </c>
      <c r="B29" s="64">
        <v>18</v>
      </c>
      <c r="C29" s="64">
        <v>29</v>
      </c>
      <c r="D29" s="39">
        <v>41</v>
      </c>
    </row>
    <row r="30" spans="1:4" x14ac:dyDescent="0.2">
      <c r="A30" s="36">
        <v>34</v>
      </c>
      <c r="B30" s="63">
        <v>49</v>
      </c>
      <c r="C30" s="63">
        <v>30</v>
      </c>
      <c r="D30" s="39">
        <v>53</v>
      </c>
    </row>
    <row r="31" spans="1:4" x14ac:dyDescent="0.2">
      <c r="A31" s="36">
        <v>35</v>
      </c>
      <c r="B31" s="63">
        <v>51</v>
      </c>
      <c r="C31" s="63">
        <v>31</v>
      </c>
      <c r="D31" s="39">
        <v>3</v>
      </c>
    </row>
    <row r="32" spans="1:4" x14ac:dyDescent="0.2">
      <c r="A32" s="36">
        <v>36</v>
      </c>
      <c r="B32" s="63">
        <v>16</v>
      </c>
      <c r="C32" s="63">
        <v>32</v>
      </c>
      <c r="D32" s="39">
        <v>45</v>
      </c>
    </row>
    <row r="33" spans="1:4" x14ac:dyDescent="0.2">
      <c r="A33" s="36">
        <v>37</v>
      </c>
      <c r="B33" s="63"/>
      <c r="C33" s="63">
        <v>33</v>
      </c>
      <c r="D33" s="39">
        <v>15</v>
      </c>
    </row>
    <row r="34" spans="1:4" x14ac:dyDescent="0.2">
      <c r="A34" s="36">
        <v>38</v>
      </c>
      <c r="B34" s="63">
        <v>6</v>
      </c>
      <c r="C34" s="63">
        <v>34</v>
      </c>
      <c r="D34" s="39">
        <v>43</v>
      </c>
    </row>
    <row r="35" spans="1:4" x14ac:dyDescent="0.2">
      <c r="A35" s="36">
        <v>39</v>
      </c>
      <c r="B35" s="63">
        <v>27</v>
      </c>
      <c r="C35" s="63">
        <v>35</v>
      </c>
      <c r="D35" s="39">
        <v>30</v>
      </c>
    </row>
    <row r="36" spans="1:4" x14ac:dyDescent="0.2">
      <c r="A36" s="36">
        <v>40</v>
      </c>
      <c r="B36" s="63">
        <v>39</v>
      </c>
      <c r="C36" s="63">
        <v>36</v>
      </c>
      <c r="D36" s="39">
        <v>20</v>
      </c>
    </row>
    <row r="37" spans="1:4" x14ac:dyDescent="0.2">
      <c r="A37" s="36">
        <v>41</v>
      </c>
      <c r="B37" s="63">
        <v>29</v>
      </c>
      <c r="C37" s="63">
        <v>37</v>
      </c>
      <c r="D37" s="39">
        <v>8</v>
      </c>
    </row>
    <row r="38" spans="1:4" x14ac:dyDescent="0.2">
      <c r="A38" s="36">
        <v>42</v>
      </c>
      <c r="B38" s="63">
        <v>14</v>
      </c>
      <c r="C38" s="63">
        <v>38</v>
      </c>
      <c r="D38" s="39">
        <v>19</v>
      </c>
    </row>
    <row r="39" spans="1:4" x14ac:dyDescent="0.2">
      <c r="A39" s="36">
        <v>43</v>
      </c>
      <c r="B39" s="63">
        <v>34</v>
      </c>
      <c r="C39" s="63">
        <v>39</v>
      </c>
      <c r="D39" s="39">
        <v>40</v>
      </c>
    </row>
    <row r="40" spans="1:4" x14ac:dyDescent="0.2">
      <c r="A40" s="36">
        <v>44</v>
      </c>
      <c r="B40" s="63">
        <v>40</v>
      </c>
      <c r="C40" s="63">
        <v>40</v>
      </c>
      <c r="D40" s="39">
        <v>44</v>
      </c>
    </row>
    <row r="41" spans="1:4" x14ac:dyDescent="0.2">
      <c r="A41" s="36">
        <v>45</v>
      </c>
      <c r="B41" s="63">
        <v>32</v>
      </c>
      <c r="C41" s="63">
        <v>41</v>
      </c>
      <c r="D41" s="39">
        <v>22</v>
      </c>
    </row>
    <row r="42" spans="1:4" x14ac:dyDescent="0.2">
      <c r="A42" s="36">
        <v>46</v>
      </c>
      <c r="B42" s="63">
        <v>43</v>
      </c>
      <c r="C42" s="63">
        <v>42</v>
      </c>
      <c r="D42" s="39">
        <v>28</v>
      </c>
    </row>
    <row r="43" spans="1:4" x14ac:dyDescent="0.2">
      <c r="A43" s="36">
        <v>47</v>
      </c>
      <c r="B43" s="63">
        <v>3</v>
      </c>
      <c r="C43" s="63">
        <v>43</v>
      </c>
      <c r="D43" s="39">
        <v>46</v>
      </c>
    </row>
    <row r="44" spans="1:4" x14ac:dyDescent="0.2">
      <c r="A44" s="36">
        <v>48</v>
      </c>
      <c r="B44" s="63">
        <v>54</v>
      </c>
      <c r="C44" s="65">
        <v>44</v>
      </c>
      <c r="D44" s="39">
        <v>61</v>
      </c>
    </row>
    <row r="45" spans="1:4" x14ac:dyDescent="0.2">
      <c r="A45" s="36">
        <v>49</v>
      </c>
      <c r="B45" s="63">
        <v>48</v>
      </c>
      <c r="C45" s="63">
        <v>45</v>
      </c>
      <c r="D45" s="39">
        <v>54</v>
      </c>
    </row>
    <row r="46" spans="1:4" x14ac:dyDescent="0.2">
      <c r="A46" s="36">
        <v>50</v>
      </c>
      <c r="B46" s="63">
        <v>19</v>
      </c>
      <c r="C46" s="63">
        <v>46</v>
      </c>
      <c r="D46" s="39">
        <v>52</v>
      </c>
    </row>
    <row r="47" spans="1:4" x14ac:dyDescent="0.2">
      <c r="A47" s="36">
        <v>51</v>
      </c>
      <c r="B47" s="63">
        <v>5</v>
      </c>
      <c r="C47" s="63">
        <v>47</v>
      </c>
      <c r="D47" s="39">
        <v>7</v>
      </c>
    </row>
    <row r="48" spans="1:4" x14ac:dyDescent="0.2">
      <c r="A48" s="36">
        <v>52</v>
      </c>
      <c r="B48" s="63">
        <v>46</v>
      </c>
      <c r="C48" s="63">
        <v>48</v>
      </c>
      <c r="D48" s="39">
        <v>49</v>
      </c>
    </row>
    <row r="49" spans="1:4" x14ac:dyDescent="0.2">
      <c r="A49" s="36">
        <v>53</v>
      </c>
      <c r="B49" s="64">
        <v>30</v>
      </c>
      <c r="C49" s="64">
        <v>49</v>
      </c>
      <c r="D49" s="39">
        <v>34</v>
      </c>
    </row>
    <row r="50" spans="1:4" x14ac:dyDescent="0.2">
      <c r="A50" s="36">
        <v>54</v>
      </c>
      <c r="B50" s="63">
        <v>45</v>
      </c>
      <c r="C50" s="63">
        <v>50</v>
      </c>
      <c r="D50" s="39">
        <v>12</v>
      </c>
    </row>
    <row r="51" spans="1:4" x14ac:dyDescent="0.2">
      <c r="A51" s="42">
        <v>57</v>
      </c>
      <c r="B51" s="39">
        <v>15</v>
      </c>
      <c r="C51" s="39">
        <v>51</v>
      </c>
      <c r="D51" s="39">
        <v>35</v>
      </c>
    </row>
    <row r="52" spans="1:4" x14ac:dyDescent="0.2">
      <c r="A52" s="42">
        <v>58</v>
      </c>
      <c r="B52" s="39">
        <v>13</v>
      </c>
      <c r="C52" s="39">
        <v>52</v>
      </c>
      <c r="D52" s="39">
        <v>4</v>
      </c>
    </row>
    <row r="53" spans="1:4" x14ac:dyDescent="0.2">
      <c r="A53" s="39">
        <v>59</v>
      </c>
      <c r="B53" s="39">
        <v>28</v>
      </c>
      <c r="C53" s="39">
        <v>53</v>
      </c>
      <c r="D53" s="39">
        <v>31</v>
      </c>
    </row>
    <row r="54" spans="1:4" x14ac:dyDescent="0.2">
      <c r="A54" s="39">
        <v>60</v>
      </c>
      <c r="B54" s="63">
        <v>22</v>
      </c>
      <c r="C54" s="63">
        <v>54</v>
      </c>
      <c r="D54" s="39">
        <v>48</v>
      </c>
    </row>
    <row r="55" spans="1:4" x14ac:dyDescent="0.2">
      <c r="A55" s="39">
        <v>61</v>
      </c>
      <c r="B55">
        <v>44</v>
      </c>
      <c r="C55" s="39"/>
    </row>
  </sheetData>
  <sortState xmlns:xlrd2="http://schemas.microsoft.com/office/spreadsheetml/2017/richdata2" ref="C2:C55">
    <sortCondition ref="C1:C5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7C18-0E1D-6241-B518-BD470BD96400}">
  <dimension ref="A1:F59"/>
  <sheetViews>
    <sheetView zoomScale="139" workbookViewId="0">
      <selection activeCell="B33" sqref="B33:B54"/>
    </sheetView>
  </sheetViews>
  <sheetFormatPr baseColWidth="10" defaultRowHeight="16" x14ac:dyDescent="0.2"/>
  <cols>
    <col min="2" max="2" width="18.6640625" customWidth="1"/>
    <col min="3" max="3" width="103.33203125" customWidth="1"/>
    <col min="5" max="5" width="45.5" customWidth="1"/>
    <col min="6" max="6" width="57" customWidth="1"/>
  </cols>
  <sheetData>
    <row r="1" spans="1:6" ht="19" x14ac:dyDescent="0.2">
      <c r="A1" s="45" t="s">
        <v>613</v>
      </c>
      <c r="B1" s="62" t="s">
        <v>298</v>
      </c>
      <c r="C1" s="46" t="s">
        <v>48</v>
      </c>
      <c r="D1" s="46" t="s">
        <v>49</v>
      </c>
      <c r="E1" s="48" t="s">
        <v>51</v>
      </c>
      <c r="F1" s="47" t="s">
        <v>50</v>
      </c>
    </row>
    <row r="2" spans="1:6" x14ac:dyDescent="0.2">
      <c r="A2" s="36">
        <v>1</v>
      </c>
      <c r="B2" s="63">
        <v>10</v>
      </c>
      <c r="C2" s="37" t="s">
        <v>52</v>
      </c>
      <c r="D2" s="38">
        <v>2007</v>
      </c>
      <c r="E2" t="s">
        <v>54</v>
      </c>
      <c r="F2" s="49" t="s">
        <v>53</v>
      </c>
    </row>
    <row r="3" spans="1:6" x14ac:dyDescent="0.2">
      <c r="A3" s="36">
        <f>A2+1</f>
        <v>2</v>
      </c>
      <c r="B3" s="63">
        <v>1</v>
      </c>
      <c r="C3" s="37" t="s">
        <v>55</v>
      </c>
      <c r="D3" s="38">
        <v>2008</v>
      </c>
      <c r="E3" t="s">
        <v>57</v>
      </c>
      <c r="F3" s="49" t="s">
        <v>56</v>
      </c>
    </row>
    <row r="4" spans="1:6" x14ac:dyDescent="0.2">
      <c r="A4" s="36">
        <f t="shared" ref="A4:A37" si="0">A3+1</f>
        <v>3</v>
      </c>
      <c r="B4" s="63">
        <v>31</v>
      </c>
      <c r="C4" s="37" t="s">
        <v>58</v>
      </c>
      <c r="D4" s="38">
        <v>2009</v>
      </c>
      <c r="E4" t="s">
        <v>60</v>
      </c>
      <c r="F4" s="49" t="s">
        <v>59</v>
      </c>
    </row>
    <row r="5" spans="1:6" x14ac:dyDescent="0.2">
      <c r="A5" s="36">
        <f t="shared" si="0"/>
        <v>4</v>
      </c>
      <c r="B5" s="63">
        <v>52</v>
      </c>
      <c r="C5" s="37" t="s">
        <v>61</v>
      </c>
      <c r="D5" s="38">
        <v>2011</v>
      </c>
      <c r="E5" t="s">
        <v>63</v>
      </c>
      <c r="F5" s="49" t="s">
        <v>62</v>
      </c>
    </row>
    <row r="6" spans="1:6" x14ac:dyDescent="0.2">
      <c r="A6" s="36">
        <f t="shared" si="0"/>
        <v>5</v>
      </c>
      <c r="B6" s="63">
        <v>26</v>
      </c>
      <c r="C6" s="37" t="s">
        <v>64</v>
      </c>
      <c r="D6" s="38">
        <v>2014</v>
      </c>
      <c r="E6" t="s">
        <v>66</v>
      </c>
      <c r="F6" s="49" t="s">
        <v>65</v>
      </c>
    </row>
    <row r="7" spans="1:6" x14ac:dyDescent="0.2">
      <c r="A7" s="36">
        <f t="shared" si="0"/>
        <v>6</v>
      </c>
      <c r="B7" s="63">
        <v>9</v>
      </c>
      <c r="C7" s="37" t="s">
        <v>67</v>
      </c>
      <c r="D7" s="38">
        <v>2015</v>
      </c>
      <c r="E7" t="s">
        <v>69</v>
      </c>
      <c r="F7" s="49" t="s">
        <v>68</v>
      </c>
    </row>
    <row r="8" spans="1:6" x14ac:dyDescent="0.2">
      <c r="A8" s="36">
        <f t="shared" si="0"/>
        <v>7</v>
      </c>
      <c r="B8" s="63">
        <v>47</v>
      </c>
      <c r="C8" s="37" t="s">
        <v>70</v>
      </c>
      <c r="D8" s="38">
        <v>2018</v>
      </c>
      <c r="E8" t="s">
        <v>72</v>
      </c>
      <c r="F8" s="49" t="s">
        <v>71</v>
      </c>
    </row>
    <row r="9" spans="1:6" x14ac:dyDescent="0.2">
      <c r="A9" s="36">
        <f t="shared" si="0"/>
        <v>8</v>
      </c>
      <c r="B9" s="63">
        <v>37</v>
      </c>
      <c r="C9" s="37" t="s">
        <v>73</v>
      </c>
      <c r="D9" s="38">
        <v>2018</v>
      </c>
      <c r="E9" t="s">
        <v>75</v>
      </c>
      <c r="F9" s="49" t="s">
        <v>74</v>
      </c>
    </row>
    <row r="10" spans="1:6" x14ac:dyDescent="0.2">
      <c r="A10" s="36">
        <f t="shared" si="0"/>
        <v>9</v>
      </c>
      <c r="B10" s="63">
        <v>24</v>
      </c>
      <c r="C10" s="37" t="s">
        <v>76</v>
      </c>
      <c r="D10" s="38">
        <v>2019</v>
      </c>
      <c r="E10" t="s">
        <v>78</v>
      </c>
      <c r="F10" s="49" t="s">
        <v>77</v>
      </c>
    </row>
    <row r="11" spans="1:6" x14ac:dyDescent="0.2">
      <c r="A11" s="36">
        <f t="shared" si="0"/>
        <v>10</v>
      </c>
      <c r="B11" s="63">
        <v>7</v>
      </c>
      <c r="C11" s="37" t="s">
        <v>79</v>
      </c>
      <c r="D11" s="38">
        <v>2020</v>
      </c>
      <c r="E11" t="s">
        <v>81</v>
      </c>
      <c r="F11" s="50" t="s">
        <v>80</v>
      </c>
    </row>
    <row r="12" spans="1:6" x14ac:dyDescent="0.2">
      <c r="A12" s="36">
        <f t="shared" si="0"/>
        <v>11</v>
      </c>
      <c r="B12" s="64">
        <v>50</v>
      </c>
      <c r="C12" s="37" t="s">
        <v>82</v>
      </c>
      <c r="D12" s="38">
        <v>2020</v>
      </c>
      <c r="E12" t="s">
        <v>84</v>
      </c>
      <c r="F12" s="49" t="s">
        <v>83</v>
      </c>
    </row>
    <row r="13" spans="1:6" x14ac:dyDescent="0.2">
      <c r="A13" s="36">
        <f t="shared" si="0"/>
        <v>12</v>
      </c>
      <c r="B13" s="63">
        <v>2</v>
      </c>
      <c r="C13" s="37" t="s">
        <v>85</v>
      </c>
      <c r="D13" s="38">
        <v>2020</v>
      </c>
      <c r="E13" t="s">
        <v>87</v>
      </c>
      <c r="F13" s="49" t="s">
        <v>86</v>
      </c>
    </row>
    <row r="14" spans="1:6" x14ac:dyDescent="0.2">
      <c r="A14" s="36">
        <f t="shared" si="0"/>
        <v>13</v>
      </c>
      <c r="B14" s="63">
        <v>33</v>
      </c>
      <c r="C14" s="37" t="s">
        <v>88</v>
      </c>
      <c r="D14" s="38">
        <v>2021</v>
      </c>
      <c r="E14" t="s">
        <v>90</v>
      </c>
      <c r="F14" s="49" t="s">
        <v>89</v>
      </c>
    </row>
    <row r="15" spans="1:6" x14ac:dyDescent="0.2">
      <c r="A15" s="36">
        <f t="shared" si="0"/>
        <v>14</v>
      </c>
      <c r="B15" s="63">
        <v>23</v>
      </c>
      <c r="C15" s="37" t="s">
        <v>91</v>
      </c>
      <c r="D15" s="38">
        <v>2021</v>
      </c>
      <c r="E15" t="s">
        <v>93</v>
      </c>
      <c r="F15" s="49" t="s">
        <v>92</v>
      </c>
    </row>
    <row r="16" spans="1:6" x14ac:dyDescent="0.2">
      <c r="A16" s="36">
        <f t="shared" si="0"/>
        <v>15</v>
      </c>
      <c r="B16" s="63">
        <v>17</v>
      </c>
      <c r="C16" s="37" t="s">
        <v>94</v>
      </c>
      <c r="D16" s="38">
        <v>2021</v>
      </c>
      <c r="E16" t="s">
        <v>96</v>
      </c>
      <c r="F16" s="49" t="s">
        <v>95</v>
      </c>
    </row>
    <row r="17" spans="1:6" x14ac:dyDescent="0.2">
      <c r="A17" s="36">
        <f t="shared" si="0"/>
        <v>16</v>
      </c>
      <c r="B17" s="63">
        <v>38</v>
      </c>
      <c r="C17" s="37" t="s">
        <v>97</v>
      </c>
      <c r="D17" s="38">
        <v>2021</v>
      </c>
      <c r="E17" t="s">
        <v>99</v>
      </c>
      <c r="F17" s="49" t="s">
        <v>98</v>
      </c>
    </row>
    <row r="18" spans="1:6" x14ac:dyDescent="0.2">
      <c r="A18" s="36">
        <f t="shared" si="0"/>
        <v>17</v>
      </c>
      <c r="B18" s="63">
        <v>36</v>
      </c>
      <c r="C18" s="37" t="s">
        <v>100</v>
      </c>
      <c r="D18" s="38">
        <v>2022</v>
      </c>
      <c r="E18" t="s">
        <v>102</v>
      </c>
      <c r="F18" s="49" t="s">
        <v>101</v>
      </c>
    </row>
    <row r="19" spans="1:6" x14ac:dyDescent="0.2">
      <c r="A19" s="36">
        <f t="shared" si="0"/>
        <v>18</v>
      </c>
      <c r="B19" s="63">
        <v>20</v>
      </c>
      <c r="C19" s="37" t="s">
        <v>103</v>
      </c>
      <c r="D19" s="38">
        <v>2022</v>
      </c>
      <c r="E19" t="s">
        <v>105</v>
      </c>
      <c r="F19" s="49" t="s">
        <v>104</v>
      </c>
    </row>
    <row r="20" spans="1:6" x14ac:dyDescent="0.2">
      <c r="A20" s="36">
        <f t="shared" si="0"/>
        <v>19</v>
      </c>
      <c r="B20" s="63">
        <v>41</v>
      </c>
      <c r="C20" s="37" t="s">
        <v>106</v>
      </c>
      <c r="D20" s="38">
        <v>2022</v>
      </c>
      <c r="E20" t="s">
        <v>108</v>
      </c>
      <c r="F20" s="49" t="s">
        <v>107</v>
      </c>
    </row>
    <row r="21" spans="1:6" x14ac:dyDescent="0.2">
      <c r="A21" s="36">
        <f t="shared" si="0"/>
        <v>20</v>
      </c>
      <c r="B21" s="63">
        <v>4</v>
      </c>
      <c r="C21" s="37" t="s">
        <v>109</v>
      </c>
      <c r="D21" s="38">
        <v>2022</v>
      </c>
      <c r="E21" t="s">
        <v>111</v>
      </c>
      <c r="F21" s="49" t="s">
        <v>110</v>
      </c>
    </row>
    <row r="22" spans="1:6" x14ac:dyDescent="0.2">
      <c r="A22" s="36">
        <f t="shared" si="0"/>
        <v>21</v>
      </c>
      <c r="B22" s="63">
        <v>12</v>
      </c>
      <c r="C22" s="37" t="s">
        <v>112</v>
      </c>
      <c r="D22" s="38">
        <v>2022</v>
      </c>
      <c r="E22" t="s">
        <v>114</v>
      </c>
      <c r="F22" s="49" t="s">
        <v>113</v>
      </c>
    </row>
    <row r="23" spans="1:6" x14ac:dyDescent="0.2">
      <c r="A23" s="36">
        <f t="shared" si="0"/>
        <v>22</v>
      </c>
      <c r="B23" s="63">
        <v>11</v>
      </c>
      <c r="C23" s="37" t="s">
        <v>115</v>
      </c>
      <c r="D23" s="38">
        <v>2022</v>
      </c>
      <c r="E23" t="s">
        <v>117</v>
      </c>
      <c r="F23" s="49" t="s">
        <v>116</v>
      </c>
    </row>
    <row r="24" spans="1:6" x14ac:dyDescent="0.2">
      <c r="A24" s="36">
        <f t="shared" si="0"/>
        <v>23</v>
      </c>
      <c r="B24" s="63">
        <v>25</v>
      </c>
      <c r="C24" s="37" t="s">
        <v>118</v>
      </c>
      <c r="D24" s="38">
        <v>2022</v>
      </c>
      <c r="E24" t="s">
        <v>120</v>
      </c>
      <c r="F24" s="49" t="s">
        <v>119</v>
      </c>
    </row>
    <row r="25" spans="1:6" x14ac:dyDescent="0.2">
      <c r="A25" s="36">
        <f t="shared" si="0"/>
        <v>24</v>
      </c>
      <c r="B25" s="63">
        <v>42</v>
      </c>
      <c r="C25" s="37" t="s">
        <v>121</v>
      </c>
      <c r="D25" s="38">
        <v>2022</v>
      </c>
      <c r="E25" s="51" t="s">
        <v>123</v>
      </c>
      <c r="F25" s="49" t="s">
        <v>122</v>
      </c>
    </row>
    <row r="26" spans="1:6" x14ac:dyDescent="0.2">
      <c r="A26" s="36">
        <f t="shared" si="0"/>
        <v>25</v>
      </c>
      <c r="B26" s="63">
        <v>35</v>
      </c>
      <c r="C26" s="37" t="s">
        <v>124</v>
      </c>
      <c r="D26" s="38">
        <v>2023</v>
      </c>
      <c r="E26" t="s">
        <v>126</v>
      </c>
      <c r="F26" s="49" t="s">
        <v>125</v>
      </c>
    </row>
    <row r="27" spans="1:6" x14ac:dyDescent="0.2">
      <c r="A27" s="36">
        <f t="shared" si="0"/>
        <v>26</v>
      </c>
      <c r="B27" s="63">
        <v>53</v>
      </c>
      <c r="C27" s="37" t="s">
        <v>127</v>
      </c>
      <c r="D27" s="38">
        <v>2023</v>
      </c>
      <c r="E27" t="s">
        <v>129</v>
      </c>
      <c r="F27" s="49" t="s">
        <v>128</v>
      </c>
    </row>
    <row r="28" spans="1:6" x14ac:dyDescent="0.2">
      <c r="A28" s="36">
        <f t="shared" si="0"/>
        <v>27</v>
      </c>
      <c r="B28" s="63">
        <v>21</v>
      </c>
      <c r="C28" s="37" t="s">
        <v>130</v>
      </c>
      <c r="D28" s="38">
        <v>2023</v>
      </c>
      <c r="E28" t="s">
        <v>132</v>
      </c>
      <c r="F28" s="49" t="s">
        <v>131</v>
      </c>
    </row>
    <row r="29" spans="1:6" x14ac:dyDescent="0.2">
      <c r="A29" s="36">
        <f t="shared" si="0"/>
        <v>28</v>
      </c>
      <c r="B29" s="64">
        <v>18</v>
      </c>
      <c r="C29" s="37" t="s">
        <v>133</v>
      </c>
      <c r="D29" s="38">
        <v>2024</v>
      </c>
      <c r="E29" t="s">
        <v>135</v>
      </c>
      <c r="F29" s="49" t="s">
        <v>134</v>
      </c>
    </row>
    <row r="30" spans="1:6" x14ac:dyDescent="0.2">
      <c r="A30" s="36">
        <f t="shared" si="0"/>
        <v>29</v>
      </c>
      <c r="B30" s="63">
        <v>49</v>
      </c>
      <c r="C30" s="37" t="s">
        <v>136</v>
      </c>
      <c r="D30" s="38">
        <v>2024</v>
      </c>
      <c r="E30" t="s">
        <v>138</v>
      </c>
      <c r="F30" s="49" t="s">
        <v>137</v>
      </c>
    </row>
    <row r="31" spans="1:6" x14ac:dyDescent="0.2">
      <c r="A31" s="36">
        <f t="shared" si="0"/>
        <v>30</v>
      </c>
      <c r="B31" s="63">
        <v>51</v>
      </c>
      <c r="C31" s="37" t="s">
        <v>139</v>
      </c>
      <c r="D31" s="38">
        <v>2024</v>
      </c>
      <c r="E31" t="s">
        <v>141</v>
      </c>
      <c r="F31" s="49" t="s">
        <v>140</v>
      </c>
    </row>
    <row r="32" spans="1:6" x14ac:dyDescent="0.2">
      <c r="A32" s="36">
        <f t="shared" si="0"/>
        <v>31</v>
      </c>
      <c r="B32" s="63">
        <v>16</v>
      </c>
      <c r="C32" s="37" t="s">
        <v>142</v>
      </c>
      <c r="D32" s="38">
        <v>2024</v>
      </c>
      <c r="E32" t="s">
        <v>144</v>
      </c>
      <c r="F32" s="49" t="s">
        <v>143</v>
      </c>
    </row>
    <row r="33" spans="1:6" x14ac:dyDescent="0.2">
      <c r="A33" s="36">
        <f t="shared" si="0"/>
        <v>32</v>
      </c>
      <c r="B33" s="63">
        <v>6</v>
      </c>
      <c r="C33" s="37" t="s">
        <v>147</v>
      </c>
      <c r="D33" s="38">
        <v>2024</v>
      </c>
      <c r="E33" s="51" t="s">
        <v>149</v>
      </c>
      <c r="F33" s="49" t="s">
        <v>148</v>
      </c>
    </row>
    <row r="34" spans="1:6" x14ac:dyDescent="0.2">
      <c r="A34" s="36">
        <f t="shared" si="0"/>
        <v>33</v>
      </c>
      <c r="B34" s="63">
        <v>27</v>
      </c>
      <c r="C34" s="37" t="s">
        <v>150</v>
      </c>
      <c r="D34" s="38">
        <v>2024</v>
      </c>
      <c r="E34" t="s">
        <v>152</v>
      </c>
      <c r="F34" s="49" t="s">
        <v>151</v>
      </c>
    </row>
    <row r="35" spans="1:6" x14ac:dyDescent="0.2">
      <c r="A35" s="36">
        <f t="shared" si="0"/>
        <v>34</v>
      </c>
      <c r="B35" s="63">
        <v>39</v>
      </c>
      <c r="C35" s="37" t="s">
        <v>153</v>
      </c>
      <c r="D35" s="38">
        <v>2024</v>
      </c>
      <c r="E35" t="s">
        <v>155</v>
      </c>
      <c r="F35" s="49" t="s">
        <v>154</v>
      </c>
    </row>
    <row r="36" spans="1:6" x14ac:dyDescent="0.2">
      <c r="A36" s="36">
        <f t="shared" si="0"/>
        <v>35</v>
      </c>
      <c r="B36" s="63">
        <v>29</v>
      </c>
      <c r="C36" s="37" t="s">
        <v>156</v>
      </c>
      <c r="D36" s="38">
        <v>2025</v>
      </c>
      <c r="E36" t="s">
        <v>158</v>
      </c>
      <c r="F36" s="49" t="s">
        <v>157</v>
      </c>
    </row>
    <row r="37" spans="1:6" x14ac:dyDescent="0.2">
      <c r="A37" s="36">
        <f t="shared" si="0"/>
        <v>36</v>
      </c>
      <c r="B37" s="63">
        <v>14</v>
      </c>
      <c r="C37" s="37" t="s">
        <v>159</v>
      </c>
      <c r="D37" s="38">
        <v>2025</v>
      </c>
      <c r="E37" t="s">
        <v>161</v>
      </c>
      <c r="F37" s="49" t="s">
        <v>160</v>
      </c>
    </row>
    <row r="38" spans="1:6" x14ac:dyDescent="0.2">
      <c r="A38" s="36">
        <f>A37+1</f>
        <v>37</v>
      </c>
      <c r="B38" s="63">
        <v>34</v>
      </c>
      <c r="C38" s="37" t="s">
        <v>162</v>
      </c>
      <c r="D38" s="38">
        <v>2025</v>
      </c>
      <c r="E38" t="s">
        <v>164</v>
      </c>
      <c r="F38" s="49" t="s">
        <v>163</v>
      </c>
    </row>
    <row r="39" spans="1:6" x14ac:dyDescent="0.2">
      <c r="A39" s="36">
        <f t="shared" ref="A39:A54" si="1">A38+1</f>
        <v>38</v>
      </c>
      <c r="B39" s="63">
        <v>40</v>
      </c>
      <c r="C39" s="37" t="s">
        <v>165</v>
      </c>
      <c r="D39" s="38">
        <v>2025</v>
      </c>
      <c r="E39" t="s">
        <v>167</v>
      </c>
      <c r="F39" s="49" t="s">
        <v>166</v>
      </c>
    </row>
    <row r="40" spans="1:6" x14ac:dyDescent="0.2">
      <c r="A40" s="36">
        <f t="shared" si="1"/>
        <v>39</v>
      </c>
      <c r="B40" s="63">
        <v>32</v>
      </c>
      <c r="C40" s="37" t="s">
        <v>168</v>
      </c>
      <c r="D40" s="38">
        <v>2025</v>
      </c>
      <c r="E40" t="s">
        <v>170</v>
      </c>
      <c r="F40" s="49" t="s">
        <v>169</v>
      </c>
    </row>
    <row r="41" spans="1:6" x14ac:dyDescent="0.2">
      <c r="A41" s="36">
        <f t="shared" si="1"/>
        <v>40</v>
      </c>
      <c r="B41" s="63">
        <v>43</v>
      </c>
      <c r="C41" s="37" t="s">
        <v>171</v>
      </c>
      <c r="D41" s="38">
        <v>2025</v>
      </c>
      <c r="E41" t="s">
        <v>173</v>
      </c>
      <c r="F41" s="50" t="s">
        <v>172</v>
      </c>
    </row>
    <row r="42" spans="1:6" x14ac:dyDescent="0.2">
      <c r="A42" s="36">
        <f t="shared" si="1"/>
        <v>41</v>
      </c>
      <c r="B42" s="63">
        <v>3</v>
      </c>
      <c r="C42" s="37" t="s">
        <v>174</v>
      </c>
      <c r="D42" s="38">
        <v>2025</v>
      </c>
      <c r="E42" t="s">
        <v>176</v>
      </c>
      <c r="F42" s="49" t="s">
        <v>175</v>
      </c>
    </row>
    <row r="43" spans="1:6" x14ac:dyDescent="0.2">
      <c r="A43" s="36">
        <f t="shared" si="1"/>
        <v>42</v>
      </c>
      <c r="B43" s="63">
        <v>54</v>
      </c>
      <c r="C43" s="37" t="s">
        <v>177</v>
      </c>
      <c r="D43" s="38">
        <v>2026</v>
      </c>
      <c r="E43" t="s">
        <v>179</v>
      </c>
      <c r="F43" s="49" t="s">
        <v>178</v>
      </c>
    </row>
    <row r="44" spans="1:6" x14ac:dyDescent="0.2">
      <c r="A44" s="36">
        <f t="shared" si="1"/>
        <v>43</v>
      </c>
      <c r="B44" s="63">
        <v>48</v>
      </c>
      <c r="C44" s="37" t="s">
        <v>180</v>
      </c>
      <c r="D44" s="38">
        <v>2026</v>
      </c>
      <c r="E44" t="s">
        <v>182</v>
      </c>
      <c r="F44" s="49" t="s">
        <v>181</v>
      </c>
    </row>
    <row r="45" spans="1:6" x14ac:dyDescent="0.2">
      <c r="A45" s="36">
        <f t="shared" si="1"/>
        <v>44</v>
      </c>
      <c r="B45" s="63">
        <v>119</v>
      </c>
      <c r="C45" s="37" t="s">
        <v>183</v>
      </c>
      <c r="D45" s="38">
        <v>2026</v>
      </c>
      <c r="E45" t="s">
        <v>185</v>
      </c>
      <c r="F45" s="49" t="s">
        <v>184</v>
      </c>
    </row>
    <row r="46" spans="1:6" x14ac:dyDescent="0.2">
      <c r="A46" s="36">
        <f t="shared" si="1"/>
        <v>45</v>
      </c>
      <c r="B46" s="63">
        <v>5</v>
      </c>
      <c r="C46" s="37" t="s">
        <v>186</v>
      </c>
      <c r="D46" s="38">
        <v>2026</v>
      </c>
      <c r="E46" t="s">
        <v>188</v>
      </c>
      <c r="F46" s="49" t="s">
        <v>187</v>
      </c>
    </row>
    <row r="47" spans="1:6" x14ac:dyDescent="0.2">
      <c r="A47" s="36">
        <f t="shared" si="1"/>
        <v>46</v>
      </c>
      <c r="B47" s="63">
        <v>46</v>
      </c>
      <c r="C47" s="37" t="s">
        <v>189</v>
      </c>
      <c r="D47" s="38">
        <v>2026</v>
      </c>
      <c r="E47" t="s">
        <v>191</v>
      </c>
      <c r="F47" s="50" t="s">
        <v>190</v>
      </c>
    </row>
    <row r="48" spans="1:6" x14ac:dyDescent="0.2">
      <c r="A48" s="36">
        <f t="shared" si="1"/>
        <v>47</v>
      </c>
      <c r="B48" s="63">
        <v>30</v>
      </c>
      <c r="C48" s="37" t="s">
        <v>192</v>
      </c>
      <c r="D48" s="38">
        <v>2026</v>
      </c>
      <c r="E48" t="s">
        <v>194</v>
      </c>
      <c r="F48" s="49" t="s">
        <v>193</v>
      </c>
    </row>
    <row r="49" spans="1:6" x14ac:dyDescent="0.2">
      <c r="A49" s="36">
        <f t="shared" si="1"/>
        <v>48</v>
      </c>
      <c r="B49" s="64">
        <v>45</v>
      </c>
      <c r="C49" s="37" t="s">
        <v>195</v>
      </c>
      <c r="D49" s="38">
        <v>2022</v>
      </c>
      <c r="E49" t="s">
        <v>197</v>
      </c>
      <c r="F49" s="49" t="s">
        <v>196</v>
      </c>
    </row>
    <row r="50" spans="1:6" ht="17" x14ac:dyDescent="0.2">
      <c r="A50" s="36">
        <f t="shared" si="1"/>
        <v>49</v>
      </c>
      <c r="B50" s="63">
        <v>15</v>
      </c>
      <c r="C50" s="43" t="s">
        <v>198</v>
      </c>
      <c r="D50" s="44">
        <v>2024</v>
      </c>
      <c r="E50" t="s">
        <v>200</v>
      </c>
      <c r="F50" s="52" t="s">
        <v>199</v>
      </c>
    </row>
    <row r="51" spans="1:6" x14ac:dyDescent="0.2">
      <c r="A51" s="36">
        <f t="shared" si="1"/>
        <v>50</v>
      </c>
      <c r="B51" s="39">
        <v>13</v>
      </c>
      <c r="C51" s="42" t="s">
        <v>201</v>
      </c>
      <c r="D51" s="44">
        <v>2026</v>
      </c>
      <c r="E51" t="s">
        <v>203</v>
      </c>
      <c r="F51" s="52" t="s">
        <v>202</v>
      </c>
    </row>
    <row r="52" spans="1:6" x14ac:dyDescent="0.2">
      <c r="A52" s="36">
        <f t="shared" si="1"/>
        <v>51</v>
      </c>
      <c r="B52" s="39">
        <v>28</v>
      </c>
      <c r="C52" s="39" t="s">
        <v>204</v>
      </c>
      <c r="D52" s="40">
        <v>2024</v>
      </c>
      <c r="E52" t="s">
        <v>206</v>
      </c>
      <c r="F52" t="s">
        <v>205</v>
      </c>
    </row>
    <row r="53" spans="1:6" x14ac:dyDescent="0.2">
      <c r="A53" s="36">
        <f t="shared" si="1"/>
        <v>52</v>
      </c>
      <c r="B53" s="39">
        <v>22</v>
      </c>
      <c r="C53" s="37" t="s">
        <v>207</v>
      </c>
      <c r="D53" s="38">
        <v>2026</v>
      </c>
      <c r="E53" t="s">
        <v>208</v>
      </c>
    </row>
    <row r="54" spans="1:6" x14ac:dyDescent="0.2">
      <c r="A54" s="36">
        <f t="shared" si="1"/>
        <v>53</v>
      </c>
      <c r="B54" s="63">
        <v>44</v>
      </c>
      <c r="C54" s="53" t="s">
        <v>209</v>
      </c>
      <c r="D54" s="40">
        <v>2020</v>
      </c>
      <c r="E54" t="s">
        <v>210</v>
      </c>
    </row>
    <row r="55" spans="1:6" x14ac:dyDescent="0.2">
      <c r="A55" s="42">
        <v>57</v>
      </c>
    </row>
    <row r="56" spans="1:6" x14ac:dyDescent="0.2">
      <c r="A56" s="42">
        <v>58</v>
      </c>
    </row>
    <row r="57" spans="1:6" x14ac:dyDescent="0.2">
      <c r="A57" s="39">
        <v>59</v>
      </c>
    </row>
    <row r="58" spans="1:6" x14ac:dyDescent="0.2">
      <c r="A58" s="39">
        <v>60</v>
      </c>
    </row>
    <row r="59" spans="1:6" x14ac:dyDescent="0.2">
      <c r="A59" s="39">
        <v>61</v>
      </c>
    </row>
  </sheetData>
  <hyperlinks>
    <hyperlink ref="E25" r:id="rId1" xr:uid="{02F80357-65A1-334E-9D4A-AD84833451CC}"/>
    <hyperlink ref="E33" r:id="rId2" xr:uid="{DD0AB042-5388-F74D-8C7F-B81599B057F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B265-6123-0346-A0ED-2CBAAB32E111}">
  <dimension ref="A1:C29"/>
  <sheetViews>
    <sheetView workbookViewId="0">
      <selection activeCell="A10" sqref="A10"/>
    </sheetView>
  </sheetViews>
  <sheetFormatPr baseColWidth="10" defaultRowHeight="16" x14ac:dyDescent="0.2"/>
  <cols>
    <col min="1" max="1" width="37.5" customWidth="1"/>
    <col min="2" max="2" width="41.5" customWidth="1"/>
    <col min="3" max="3" width="82.5" customWidth="1"/>
  </cols>
  <sheetData>
    <row r="1" spans="1:3" ht="20" x14ac:dyDescent="0.2">
      <c r="A1" s="84" t="s">
        <v>240</v>
      </c>
      <c r="B1" s="84" t="s">
        <v>1839</v>
      </c>
      <c r="C1" s="84" t="s">
        <v>241</v>
      </c>
    </row>
    <row r="2" spans="1:3" ht="20" x14ac:dyDescent="0.2">
      <c r="A2" s="84" t="s">
        <v>242</v>
      </c>
      <c r="B2" s="85" t="s">
        <v>1814</v>
      </c>
      <c r="C2" s="85" t="s">
        <v>243</v>
      </c>
    </row>
    <row r="3" spans="1:3" ht="20" x14ac:dyDescent="0.2">
      <c r="A3" s="84" t="s">
        <v>244</v>
      </c>
      <c r="B3" s="85" t="s">
        <v>1815</v>
      </c>
      <c r="C3" s="85" t="s">
        <v>245</v>
      </c>
    </row>
    <row r="4" spans="1:3" ht="20" x14ac:dyDescent="0.2">
      <c r="A4" s="84" t="s">
        <v>246</v>
      </c>
      <c r="B4" s="85" t="s">
        <v>1816</v>
      </c>
      <c r="C4" s="85" t="s">
        <v>247</v>
      </c>
    </row>
    <row r="5" spans="1:3" ht="20" x14ac:dyDescent="0.2">
      <c r="A5" s="84" t="s">
        <v>248</v>
      </c>
      <c r="B5" s="85" t="s">
        <v>1817</v>
      </c>
      <c r="C5" s="85" t="s">
        <v>249</v>
      </c>
    </row>
    <row r="6" spans="1:3" ht="20" x14ac:dyDescent="0.2">
      <c r="A6" s="84" t="s">
        <v>250</v>
      </c>
      <c r="B6" s="85" t="s">
        <v>1818</v>
      </c>
      <c r="C6" s="85" t="s">
        <v>251</v>
      </c>
    </row>
    <row r="7" spans="1:3" ht="20" x14ac:dyDescent="0.2">
      <c r="A7" s="84" t="s">
        <v>252</v>
      </c>
      <c r="B7" s="85" t="s">
        <v>1819</v>
      </c>
      <c r="C7" s="85" t="s">
        <v>253</v>
      </c>
    </row>
    <row r="8" spans="1:3" ht="20" x14ac:dyDescent="0.2">
      <c r="A8" s="84" t="s">
        <v>254</v>
      </c>
      <c r="B8" s="85" t="s">
        <v>1820</v>
      </c>
      <c r="C8" s="85" t="s">
        <v>255</v>
      </c>
    </row>
    <row r="9" spans="1:3" ht="20" x14ac:dyDescent="0.2">
      <c r="A9" s="84" t="s">
        <v>256</v>
      </c>
      <c r="B9" s="85" t="s">
        <v>1821</v>
      </c>
      <c r="C9" s="85" t="s">
        <v>257</v>
      </c>
    </row>
    <row r="10" spans="1:3" ht="20" x14ac:dyDescent="0.2">
      <c r="A10" s="84" t="s">
        <v>258</v>
      </c>
      <c r="B10" s="85" t="s">
        <v>1822</v>
      </c>
      <c r="C10" s="85" t="s">
        <v>259</v>
      </c>
    </row>
    <row r="11" spans="1:3" ht="20" x14ac:dyDescent="0.2">
      <c r="A11" s="84" t="s">
        <v>260</v>
      </c>
      <c r="B11" s="85" t="s">
        <v>1823</v>
      </c>
      <c r="C11" s="85" t="s">
        <v>261</v>
      </c>
    </row>
    <row r="12" spans="1:3" ht="20" x14ac:dyDescent="0.2">
      <c r="A12" s="84" t="s">
        <v>262</v>
      </c>
      <c r="B12" s="85" t="s">
        <v>1824</v>
      </c>
      <c r="C12" s="85" t="s">
        <v>263</v>
      </c>
    </row>
    <row r="13" spans="1:3" ht="20" x14ac:dyDescent="0.2">
      <c r="A13" s="84" t="s">
        <v>40</v>
      </c>
      <c r="B13" s="85" t="s">
        <v>1825</v>
      </c>
      <c r="C13" s="85" t="s">
        <v>264</v>
      </c>
    </row>
    <row r="14" spans="1:3" ht="20" x14ac:dyDescent="0.2">
      <c r="A14" s="84" t="s">
        <v>265</v>
      </c>
      <c r="B14" s="85" t="s">
        <v>1826</v>
      </c>
      <c r="C14" s="85" t="s">
        <v>266</v>
      </c>
    </row>
    <row r="15" spans="1:3" ht="20" x14ac:dyDescent="0.2">
      <c r="A15" s="84" t="s">
        <v>267</v>
      </c>
      <c r="B15" s="85" t="s">
        <v>1827</v>
      </c>
      <c r="C15" s="85" t="s">
        <v>268</v>
      </c>
    </row>
    <row r="16" spans="1:3" ht="20" x14ac:dyDescent="0.2">
      <c r="A16" s="84" t="s">
        <v>231</v>
      </c>
      <c r="B16" s="85" t="s">
        <v>1828</v>
      </c>
      <c r="C16" s="85" t="s">
        <v>269</v>
      </c>
    </row>
    <row r="17" spans="1:3" ht="20" x14ac:dyDescent="0.2">
      <c r="A17" s="84" t="s">
        <v>270</v>
      </c>
      <c r="B17" s="85" t="s">
        <v>1829</v>
      </c>
      <c r="C17" s="85" t="s">
        <v>271</v>
      </c>
    </row>
    <row r="18" spans="1:3" ht="20" x14ac:dyDescent="0.2">
      <c r="A18" s="84" t="s">
        <v>272</v>
      </c>
      <c r="B18" s="85" t="s">
        <v>1830</v>
      </c>
      <c r="C18" s="85" t="s">
        <v>273</v>
      </c>
    </row>
    <row r="19" spans="1:3" ht="20" x14ac:dyDescent="0.2">
      <c r="A19" s="84" t="s">
        <v>274</v>
      </c>
      <c r="B19" s="85" t="s">
        <v>1831</v>
      </c>
      <c r="C19" s="85" t="s">
        <v>275</v>
      </c>
    </row>
    <row r="20" spans="1:3" ht="20" x14ac:dyDescent="0.2">
      <c r="A20" s="84" t="s">
        <v>276</v>
      </c>
      <c r="B20" s="85" t="s">
        <v>1832</v>
      </c>
      <c r="C20" s="85" t="s">
        <v>277</v>
      </c>
    </row>
    <row r="21" spans="1:3" ht="20" x14ac:dyDescent="0.2">
      <c r="A21" s="84" t="s">
        <v>278</v>
      </c>
      <c r="B21" s="85" t="s">
        <v>1833</v>
      </c>
      <c r="C21" s="85" t="s">
        <v>279</v>
      </c>
    </row>
    <row r="22" spans="1:3" ht="20" x14ac:dyDescent="0.2">
      <c r="A22" s="84" t="s">
        <v>280</v>
      </c>
      <c r="B22" s="85" t="s">
        <v>1834</v>
      </c>
      <c r="C22" s="85" t="s">
        <v>281</v>
      </c>
    </row>
    <row r="23" spans="1:3" ht="20" x14ac:dyDescent="0.2">
      <c r="A23" s="84" t="s">
        <v>282</v>
      </c>
      <c r="B23" s="85" t="s">
        <v>1835</v>
      </c>
      <c r="C23" s="85" t="s">
        <v>283</v>
      </c>
    </row>
    <row r="24" spans="1:3" ht="20" x14ac:dyDescent="0.2">
      <c r="A24" s="84" t="s">
        <v>284</v>
      </c>
      <c r="B24" s="85" t="s">
        <v>1836</v>
      </c>
      <c r="C24" s="85" t="s">
        <v>285</v>
      </c>
    </row>
    <row r="25" spans="1:3" ht="20" x14ac:dyDescent="0.2">
      <c r="A25" s="84" t="s">
        <v>286</v>
      </c>
      <c r="B25" s="85" t="s">
        <v>1837</v>
      </c>
      <c r="C25" s="85" t="s">
        <v>287</v>
      </c>
    </row>
    <row r="26" spans="1:3" ht="20" x14ac:dyDescent="0.2">
      <c r="A26" s="84" t="s">
        <v>288</v>
      </c>
      <c r="B26" s="85" t="s">
        <v>1840</v>
      </c>
      <c r="C26" s="85" t="s">
        <v>289</v>
      </c>
    </row>
    <row r="27" spans="1:3" ht="20" x14ac:dyDescent="0.2">
      <c r="A27" s="84" t="s">
        <v>290</v>
      </c>
      <c r="B27" s="85" t="s">
        <v>1838</v>
      </c>
      <c r="C27" s="85" t="s">
        <v>291</v>
      </c>
    </row>
    <row r="28" spans="1:3" ht="20" x14ac:dyDescent="0.2">
      <c r="A28" s="84" t="s">
        <v>292</v>
      </c>
      <c r="B28" s="85" t="s">
        <v>293</v>
      </c>
      <c r="C28" s="85" t="s">
        <v>294</v>
      </c>
    </row>
    <row r="29" spans="1:3" ht="20" x14ac:dyDescent="0.2">
      <c r="A29" s="84" t="s">
        <v>295</v>
      </c>
      <c r="B29" s="85" t="s">
        <v>296</v>
      </c>
      <c r="C29" s="85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</vt:lpstr>
      <vt:lpstr>References</vt:lpstr>
      <vt:lpstr>Final (2)</vt:lpstr>
      <vt:lpstr>Backup database</vt:lpstr>
      <vt:lpstr>Mapping</vt:lpstr>
      <vt:lpstr>References List_final</vt:lpstr>
      <vt:lpstr>Matchmaking 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Ansari</dc:creator>
  <cp:lastModifiedBy>Sarah Ansari</cp:lastModifiedBy>
  <dcterms:created xsi:type="dcterms:W3CDTF">2026-03-27T11:37:39Z</dcterms:created>
  <dcterms:modified xsi:type="dcterms:W3CDTF">2026-06-01T08:56:15Z</dcterms:modified>
</cp:coreProperties>
</file>